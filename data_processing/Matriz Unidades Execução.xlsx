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iente/Downloads/Projeto Matriz /"/>
    </mc:Choice>
  </mc:AlternateContent>
  <xr:revisionPtr revIDLastSave="0" documentId="13_ncr:1_{51D9D514-E351-034E-9CAB-34F636CC2BF9}" xr6:coauthVersionLast="40" xr6:coauthVersionMax="47" xr10:uidLastSave="{00000000-0000-0000-0000-000000000000}"/>
  <bookViews>
    <workbookView xWindow="0" yWindow="0" windowWidth="28800" windowHeight="18000" xr2:uid="{00000000-000D-0000-FFFF-FFFF00000000}"/>
  </bookViews>
  <sheets>
    <sheet name="Execução Matriz Unidades" sheetId="1" r:id="rId1"/>
  </sheets>
  <definedNames>
    <definedName name="_xlnm._FilterDatabase" localSheetId="0" hidden="1">'Execução Matriz Unidades'!$A$1:$L$69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H2" i="1"/>
  <c r="G67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E67" i="1"/>
  <c r="J2" i="1"/>
  <c r="F67" i="1"/>
  <c r="K67" i="1"/>
  <c r="J21" i="1" l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17" i="1"/>
  <c r="J18" i="1"/>
  <c r="J9" i="1"/>
  <c r="J10" i="1"/>
  <c r="J11" i="1"/>
  <c r="J12" i="1"/>
  <c r="J13" i="1"/>
  <c r="J14" i="1"/>
  <c r="J15" i="1"/>
  <c r="J16" i="1"/>
  <c r="J8" i="1"/>
  <c r="J7" i="1"/>
  <c r="J6" i="1"/>
  <c r="J5" i="1"/>
  <c r="J4" i="1"/>
  <c r="J3" i="1"/>
  <c r="J45" i="1"/>
  <c r="J43" i="1"/>
  <c r="J44" i="1"/>
  <c r="J19" i="1"/>
  <c r="J20" i="1"/>
  <c r="J60" i="1"/>
  <c r="J56" i="1"/>
  <c r="J53" i="1"/>
  <c r="J52" i="1"/>
  <c r="J50" i="1"/>
  <c r="J47" i="1"/>
  <c r="J59" i="1"/>
  <c r="J58" i="1"/>
  <c r="J57" i="1"/>
  <c r="J55" i="1"/>
  <c r="J54" i="1"/>
  <c r="J51" i="1"/>
  <c r="J49" i="1"/>
  <c r="J48" i="1"/>
  <c r="J66" i="1"/>
  <c r="J65" i="1"/>
  <c r="J64" i="1"/>
  <c r="J63" i="1"/>
  <c r="J62" i="1"/>
  <c r="J61" i="1"/>
  <c r="J4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7" i="1" l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46" i="1"/>
  <c r="I61" i="1"/>
  <c r="I62" i="1"/>
  <c r="I63" i="1"/>
  <c r="I64" i="1"/>
  <c r="I65" i="1"/>
  <c r="I66" i="1"/>
  <c r="H67" i="1"/>
  <c r="J67" i="1" s="1"/>
  <c r="I67" i="1" l="1"/>
</calcChain>
</file>

<file path=xl/sharedStrings.xml><?xml version="1.0" encoding="utf-8"?>
<sst xmlns="http://schemas.openxmlformats.org/spreadsheetml/2006/main" count="377" uniqueCount="249">
  <si>
    <t>UGR</t>
  </si>
  <si>
    <t>Unidade</t>
  </si>
  <si>
    <t>Plano Interno</t>
  </si>
  <si>
    <t>SEI</t>
  </si>
  <si>
    <t>Crédito Disponível</t>
  </si>
  <si>
    <t>Despesas empenhadas</t>
  </si>
  <si>
    <t>Despesas debitadas</t>
  </si>
  <si>
    <t>Total Executado</t>
  </si>
  <si>
    <t>Percentual executado</t>
  </si>
  <si>
    <t>Debitar</t>
  </si>
  <si>
    <t>Nome</t>
  </si>
  <si>
    <t>NC Alocação</t>
  </si>
  <si>
    <t>NC desconto</t>
  </si>
  <si>
    <t>CAMPUS UNB GAMA - FCTE</t>
  </si>
  <si>
    <t>23106.002574/2026-87</t>
  </si>
  <si>
    <t>Douglas</t>
  </si>
  <si>
    <t>2026NC001503</t>
  </si>
  <si>
    <t>2026NC001504</t>
  </si>
  <si>
    <t>23106.002434/2026-17</t>
  </si>
  <si>
    <t>2026NC001506</t>
  </si>
  <si>
    <t>2026NC001507</t>
  </si>
  <si>
    <t>CAMPUS UNB CEILANDIA - FCTS</t>
  </si>
  <si>
    <t>23106.002575/2026-21</t>
  </si>
  <si>
    <t>2026NC001508</t>
  </si>
  <si>
    <t>2026NC001509</t>
  </si>
  <si>
    <t>23106.002435/2026-53</t>
  </si>
  <si>
    <t>2026NC001510</t>
  </si>
  <si>
    <t>2026NC001511</t>
  </si>
  <si>
    <t>FACULDADE DE CIENCIA DA INFORMACAO (FCI)</t>
  </si>
  <si>
    <t>23106.002576/2026-76</t>
  </si>
  <si>
    <t>2026NC001512</t>
  </si>
  <si>
    <t>2026NC001513</t>
  </si>
  <si>
    <t>UNB CERRADO - CER</t>
  </si>
  <si>
    <t>23106.002437/2026-42</t>
  </si>
  <si>
    <t>2026NC001570</t>
  </si>
  <si>
    <t>2026NC001571</t>
  </si>
  <si>
    <t>OUVIDORIA (OUV)</t>
  </si>
  <si>
    <t>23106.002446/2026-33</t>
  </si>
  <si>
    <t>2026NC001518</t>
  </si>
  <si>
    <t>2026NC001519</t>
  </si>
  <si>
    <t>DECANATO DE GESTAO DE PESSOAS_(DGP)</t>
  </si>
  <si>
    <t>23106.002450/2026-00</t>
  </si>
  <si>
    <t>2026NC001520</t>
  </si>
  <si>
    <t>2026NC001521</t>
  </si>
  <si>
    <t>DECANATO DE PLANEJ,ORCAM E AVAL INST - DPO</t>
  </si>
  <si>
    <t>23106.002454/2026-80</t>
  </si>
  <si>
    <t>2026NC001528</t>
  </si>
  <si>
    <t>2026NC001529</t>
  </si>
  <si>
    <t>SECRETARIA DE TECNOLOGIA DA INFORMACAO-STI</t>
  </si>
  <si>
    <t>23106.002479/2026-83</t>
  </si>
  <si>
    <t>2026NC001533</t>
  </si>
  <si>
    <t>2026NC001534</t>
  </si>
  <si>
    <t>EDITORA UNIVERSIDADE DE BRASILIA - EDU</t>
  </si>
  <si>
    <t>23106.002480/2026-16</t>
  </si>
  <si>
    <t>2026NC001535</t>
  </si>
  <si>
    <t>2026NC001536</t>
  </si>
  <si>
    <t>DECANATO DE ADMINISTRACAO (DAF)</t>
  </si>
  <si>
    <t>23106.002482/2026-05</t>
  </si>
  <si>
    <t>2026NC001515</t>
  </si>
  <si>
    <t>2026NC001516</t>
  </si>
  <si>
    <t>DECANATO DE ASSUNTOS COMUNITARIOS (DAC)</t>
  </si>
  <si>
    <t>23106.002484/2026-96</t>
  </si>
  <si>
    <t>2026NC001537</t>
  </si>
  <si>
    <t>2026NC001538</t>
  </si>
  <si>
    <t>DECANATO DE EXTENSAO (DEX)</t>
  </si>
  <si>
    <t>23106.002485/2026-31</t>
  </si>
  <si>
    <t>2026NC001539</t>
  </si>
  <si>
    <t>2026NC001540</t>
  </si>
  <si>
    <t>DECANATO DE POS-GRADUACAO (DPG)</t>
  </si>
  <si>
    <t>23106.002486/2026-85</t>
  </si>
  <si>
    <t>2026NC001542</t>
  </si>
  <si>
    <t>2026NC001543</t>
  </si>
  <si>
    <t>SECRETARIA DE PATRIMONIO IMOBILIARIO (SPI)</t>
  </si>
  <si>
    <t>23106.002489/2026-19</t>
  </si>
  <si>
    <t>2026NC001544</t>
  </si>
  <si>
    <t>2026NC001545</t>
  </si>
  <si>
    <t>GABINETE DA REITORA (GRE)</t>
  </si>
  <si>
    <t>23106.002490/2026-43</t>
  </si>
  <si>
    <t>2026NC001546</t>
  </si>
  <si>
    <t>2026NC001547</t>
  </si>
  <si>
    <t>INSTITUTO DE CIENCIAS EXATAS (IE)</t>
  </si>
  <si>
    <t>23106.002577/2026-11</t>
  </si>
  <si>
    <t>2026NC001548</t>
  </si>
  <si>
    <t>2026NC001549</t>
  </si>
  <si>
    <t>INSTITUTO DE CIENCIAS BIOLOGICAS (IB)</t>
  </si>
  <si>
    <t>23106.002581/2026-89</t>
  </si>
  <si>
    <t>2026NC001550</t>
  </si>
  <si>
    <t>2026NC001551</t>
  </si>
  <si>
    <t>INSTITUTO DE CIENCIAS HUMANAS (ICH)</t>
  </si>
  <si>
    <t>23106.002582/2026-23</t>
  </si>
  <si>
    <t>2026NC001552</t>
  </si>
  <si>
    <t>2026NC001553</t>
  </si>
  <si>
    <t>INSTITUTO DE LETRAS (IL)</t>
  </si>
  <si>
    <t>23106.002583/2026-78</t>
  </si>
  <si>
    <t>2026NC001554</t>
  </si>
  <si>
    <t>2026NC001555</t>
  </si>
  <si>
    <t>FACULDADE DE ARQUITETURA E URBANISMO (FAU)</t>
  </si>
  <si>
    <t>23106.002584/2026-12</t>
  </si>
  <si>
    <t>2026NC001523</t>
  </si>
  <si>
    <t>2026NC001524</t>
  </si>
  <si>
    <t>FACULDADE DE TECNOLOGIA (FT)</t>
  </si>
  <si>
    <t>23106.002585/2026-67</t>
  </si>
  <si>
    <t>2026NC001556</t>
  </si>
  <si>
    <t>2026NC001557</t>
  </si>
  <si>
    <t>FACULDADE DE CIENCIAS DA SAUDE (FS)</t>
  </si>
  <si>
    <t>23106.002586/2026-10</t>
  </si>
  <si>
    <t>Lucianna</t>
  </si>
  <si>
    <t>2026NC001526</t>
  </si>
  <si>
    <t>2026NC001562</t>
  </si>
  <si>
    <t>FACULDADE DE ECO ADM CONT E GESTAO DE (FACE)</t>
  </si>
  <si>
    <t>23106.002587/2026-56</t>
  </si>
  <si>
    <t>2026NC001527</t>
  </si>
  <si>
    <t>2026NC001563</t>
  </si>
  <si>
    <t>FACULDADE DE EDUCACAO (FE)</t>
  </si>
  <si>
    <t>23106.002588/2026-09</t>
  </si>
  <si>
    <t>2026NC001530</t>
  </si>
  <si>
    <t>2026NC001564</t>
  </si>
  <si>
    <t>INSTITUTO DE PSICOLOGIA (IP)</t>
  </si>
  <si>
    <t>23106.002589/2026-45</t>
  </si>
  <si>
    <t>2026NC001541</t>
  </si>
  <si>
    <t>2026NC001565</t>
  </si>
  <si>
    <t>INSTITUTO DE ARTES (IDA)</t>
  </si>
  <si>
    <t>23106.002590/2026-70</t>
  </si>
  <si>
    <t>2026NC001558</t>
  </si>
  <si>
    <t>2026NC001566</t>
  </si>
  <si>
    <t>DECANATO DE ENSINO DE GRADUACAO (DEG)</t>
  </si>
  <si>
    <t>23106.002492/2026-32</t>
  </si>
  <si>
    <t>2026NC001559</t>
  </si>
  <si>
    <t>2026NC001567</t>
  </si>
  <si>
    <t>FACULDADE DE COMUNICACAO (FAC)</t>
  </si>
  <si>
    <t>23106.002591/2026-14</t>
  </si>
  <si>
    <t>2026NC001560</t>
  </si>
  <si>
    <t>2026NC001568</t>
  </si>
  <si>
    <t>CENT DE EST AVANC E MULTIDISCIP.-CEAM</t>
  </si>
  <si>
    <t>23106.002495/2026-76</t>
  </si>
  <si>
    <t>2026NC001561</t>
  </si>
  <si>
    <t>2026NC001573</t>
  </si>
  <si>
    <t>CENTRO DE EDUCACAO A DISTANCIA - CEAD</t>
  </si>
  <si>
    <t>23106.002496/2026-11</t>
  </si>
  <si>
    <t>2026NC001623</t>
  </si>
  <si>
    <t>2026NC001624</t>
  </si>
  <si>
    <t>INSTITUTO DE GEOCIENCIAS (IG)</t>
  </si>
  <si>
    <t>23106.002592/2026-69</t>
  </si>
  <si>
    <t>2026NC001625</t>
  </si>
  <si>
    <t>2026NC001626</t>
  </si>
  <si>
    <t>RADIO E TELEVISAO UNIVERSITARIAS - UNBTV</t>
  </si>
  <si>
    <t>23106.002498/2026-18</t>
  </si>
  <si>
    <t>2026NC001629</t>
  </si>
  <si>
    <t>2026NC001630</t>
  </si>
  <si>
    <t>PREFEITURA DA UNB (PRC)</t>
  </si>
  <si>
    <t>23106.002501/2026-95</t>
  </si>
  <si>
    <t>2026NC001633</t>
  </si>
  <si>
    <t>2026NC001634</t>
  </si>
  <si>
    <t>BIBLIOTECA CENTRAL (BCE)</t>
  </si>
  <si>
    <t>23106.002505/2026-73</t>
  </si>
  <si>
    <t>2026NC001635</t>
  </si>
  <si>
    <t>2026NC001636</t>
  </si>
  <si>
    <t>PROCURADORIA FEDERAL JUNTO A UNB - PF-UNB</t>
  </si>
  <si>
    <t>23106.002547/2026-12</t>
  </si>
  <si>
    <t>2026NC001637</t>
  </si>
  <si>
    <t>2026NC001638</t>
  </si>
  <si>
    <t>SECRETARIA DE COMUNICACAO_(SECOM)</t>
  </si>
  <si>
    <t>23106.002548/2026-59</t>
  </si>
  <si>
    <t>2026NC001639</t>
  </si>
  <si>
    <t>2026NC001658</t>
  </si>
  <si>
    <t>AUDITORIA (AUD)</t>
  </si>
  <si>
    <t>23106.002549/2026-01</t>
  </si>
  <si>
    <t>2026NC001641</t>
  </si>
  <si>
    <t>2026NC001642</t>
  </si>
  <si>
    <t>FAZENDA AGUA LIMPA (FAL)</t>
  </si>
  <si>
    <t>23106.002550/2026-28</t>
  </si>
  <si>
    <t>2026NC001645</t>
  </si>
  <si>
    <t>2026NC001646</t>
  </si>
  <si>
    <t>VICE-REITORIA - VRT</t>
  </si>
  <si>
    <t>23106.002553/2026-61</t>
  </si>
  <si>
    <t>2026NC001649</t>
  </si>
  <si>
    <t>2026NC001650</t>
  </si>
  <si>
    <t>INSTITUTO DE FISICA_(IF)</t>
  </si>
  <si>
    <t>23106.002593/2026-11</t>
  </si>
  <si>
    <t>2026NC001651</t>
  </si>
  <si>
    <t>2026NC001652</t>
  </si>
  <si>
    <t>INSTITUTO DE QUIMICA (IQ)</t>
  </si>
  <si>
    <t>23106.002594/2026-58</t>
  </si>
  <si>
    <t>2026NC001653</t>
  </si>
  <si>
    <t>2026NC001654</t>
  </si>
  <si>
    <t>FACULDADE DE AGRONOMIA E MED VETERINARI (FAV)</t>
  </si>
  <si>
    <t>23106.002595/2026-01</t>
  </si>
  <si>
    <t>2026NC001655</t>
  </si>
  <si>
    <t>2026NC001656</t>
  </si>
  <si>
    <t>FACULDADE DE EDUCACAO FISICA (FEF)</t>
  </si>
  <si>
    <t>23106.002596/2026-47</t>
  </si>
  <si>
    <t>Renato</t>
  </si>
  <si>
    <t>2026NC001522</t>
  </si>
  <si>
    <t>2026ND001569</t>
  </si>
  <si>
    <t>FACULDADE DE DIREITO - FD</t>
  </si>
  <si>
    <t>23106.002597/2026-91</t>
  </si>
  <si>
    <t>2026NC001572</t>
  </si>
  <si>
    <t>2026NC001574</t>
  </si>
  <si>
    <t>INSTITUTO DE RELACOES INTERNACIONAIS (IREL)</t>
  </si>
  <si>
    <t>23106.002598/2026-36</t>
  </si>
  <si>
    <t>2026NC001575</t>
  </si>
  <si>
    <t>2026NC001576</t>
  </si>
  <si>
    <t>SECRETARIA DE ADMINISTRACAO ACADEMICA (SAA)</t>
  </si>
  <si>
    <t>23106.002554/2026-14</t>
  </si>
  <si>
    <t>2026NC001577</t>
  </si>
  <si>
    <t>2026NC001578</t>
  </si>
  <si>
    <t>INSTITUTO DE CIENCIA POLITICA (IPOL)</t>
  </si>
  <si>
    <t>23106.002599/2026-81</t>
  </si>
  <si>
    <t>2026NC001579</t>
  </si>
  <si>
    <t>2026NC001580</t>
  </si>
  <si>
    <t>INSTITUTO DE CIENCIAS SOCIAIS (ICS)</t>
  </si>
  <si>
    <t>23106.002600/2026-77</t>
  </si>
  <si>
    <t>2026NC001581</t>
  </si>
  <si>
    <t>2026NC001582</t>
  </si>
  <si>
    <t>SECRETARIA DE ASSUNTOS INTERNACIONAIS (INT)</t>
  </si>
  <si>
    <t>23106.002555/2026-51</t>
  </si>
  <si>
    <t>FACULDADE DE MEDICINA_(FM)</t>
  </si>
  <si>
    <t>23106.002601/2026-11</t>
  </si>
  <si>
    <t>CENTRO REF EM CONS NAT E REC AREAS DEG (CRAD)</t>
  </si>
  <si>
    <t>23106.002556/2026-03</t>
  </si>
  <si>
    <t>FACULDADE DE PLANALTINA (FUP)</t>
  </si>
  <si>
    <t>23106.002602/2026-66</t>
  </si>
  <si>
    <t>23106.002557/2026-40</t>
  </si>
  <si>
    <t>CENTRO DE DESENVOLVIMENTO SUSTENTAVEL (CDS)</t>
  </si>
  <si>
    <t>23106.002559/2026-39</t>
  </si>
  <si>
    <t>CENTRO DE EXCELENCIA EM TURISMO (CET)</t>
  </si>
  <si>
    <t>23106.002560/2026-63</t>
  </si>
  <si>
    <t>SECRETARIA DE INFRAESTRUTURA (INFRA)</t>
  </si>
  <si>
    <t>23106.002561/2026-16</t>
  </si>
  <si>
    <t>ARQUIVO CENTRAL (ACE)</t>
  </si>
  <si>
    <t>23106.002562/2026-52</t>
  </si>
  <si>
    <t>SECRETARIA DE DIREITOS HUMANOS-SDH</t>
  </si>
  <si>
    <t>23106.002563/2026-05</t>
  </si>
  <si>
    <t>DECANATO DE PESQUISA E INOVACAO - DPI</t>
  </si>
  <si>
    <t>23106.002564/2026-41</t>
  </si>
  <si>
    <t>PARQUE CIENTIF E TECNOLOGICO DA UNB (PCTEC)</t>
  </si>
  <si>
    <t>23106.002565/2026-96</t>
  </si>
  <si>
    <t>SECRETARIA DE MEIO AMBIENTE DA UNB - SEMA</t>
  </si>
  <si>
    <t>23106.002566/2026-31</t>
  </si>
  <si>
    <t>CENT INTERNAC DE BIOETICA E HUMANIDADE-CIBH</t>
  </si>
  <si>
    <t>23106.002568/2026-20</t>
  </si>
  <si>
    <t>ASS DE ACOMP E MEDIACAO DE CONDUTA (AAMC)</t>
  </si>
  <si>
    <t>23106.002569/2026-74</t>
  </si>
  <si>
    <t>Total</t>
  </si>
  <si>
    <t>Fonte: Tesouro Gerencial em 19/06/2026 (D-1)</t>
  </si>
  <si>
    <t>Para edição, solicita-se baixar um cópia. Caminho: Aba arquivo -&gt; Criar um cópia -&gt; baixar uma cópia</t>
  </si>
  <si>
    <t>MGY01N0104N</t>
  </si>
  <si>
    <t>VGY01N0105N</t>
  </si>
  <si>
    <t>VALOR APROVADO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</si>
</sst>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5" formatCode="#,##0.00_);\(#,##0.00\)"/>
  </numFmts>
  <fonts count="17" x14ac:knownFonts="1">
    <font>
      <sz val="11"/>
      <color theme="1"/>
      <name val="Calibri"/>
      <family val="2"/>
      <scheme val="minor"/>
    </font>
    <font>
      <sz val="10"/>
      <color rgb="FF000000"/>
      <name val="Arial"/>
      <charset val="1"/>
    </font>
    <font>
      <sz val="10"/>
      <color rgb="FFFF0000"/>
      <name val="Arial"/>
      <charset val="1"/>
    </font>
    <font>
      <sz val="11"/>
      <color theme="0"/>
      <name val="Calibri"/>
      <family val="2"/>
      <scheme val="minor"/>
    </font>
    <font>
      <b/>
      <sz val="7.5"/>
      <color theme="0"/>
      <name val="Verdana"/>
      <charset val="1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70C0"/>
      <name val="Calibri"/>
    </font>
    <font>
      <sz val="11"/>
      <color theme="4"/>
      <name val="Calibri"/>
    </font>
    <font>
      <sz val="11"/>
      <color rgb="FF000000"/>
      <name val="Calibri"/>
      <family val="2"/>
      <charset val="1"/>
    </font>
    <font>
      <sz val="10"/>
      <color rgb="FF000000"/>
      <name val="Arial"/>
    </font>
    <font>
      <sz val="11"/>
      <color rgb="FFFF0000"/>
      <name val="Calibri"/>
    </font>
    <font>
      <b/>
      <sz val="11"/>
      <color theme="1"/>
      <name val="Calibri"/>
      <family val="2"/>
      <scheme val="minor"/>
    </font>
    <font>
      <sz val="10"/>
      <color rgb="FF00B050"/>
      <name val="Arial"/>
      <charset val="1"/>
    </font>
    <font>
      <sz val="11"/>
      <color rgb="FF00B050"/>
      <name val="Calibri"/>
      <family val="2"/>
      <charset val="1"/>
    </font>
    <font>
      <sz val="10"/>
      <color rgb="FF00B050"/>
      <name val="Arial"/>
      <family val="2"/>
    </font>
    <font>
      <sz val="10"/>
      <color rgb="FF0070C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/>
    <xf numFmtId="4" fontId="0" fillId="0" borderId="1" xfId="0" applyNumberFormat="1" applyBorder="1"/>
    <xf numFmtId="0" fontId="0" fillId="0" borderId="1" xfId="0" applyBorder="1"/>
    <xf numFmtId="0" fontId="3" fillId="2" borderId="1" xfId="0" applyFont="1" applyFill="1" applyBorder="1"/>
    <xf numFmtId="8" fontId="4" fillId="2" borderId="1" xfId="0" applyNumberFormat="1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1" xfId="0" applyFont="1" applyBorder="1"/>
    <xf numFmtId="8" fontId="0" fillId="0" borderId="0" xfId="0" applyNumberFormat="1"/>
    <xf numFmtId="4" fontId="0" fillId="0" borderId="0" xfId="0" applyNumberFormat="1"/>
    <xf numFmtId="0" fontId="3" fillId="2" borderId="2" xfId="0" applyFont="1" applyFill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4" fontId="10" fillId="0" borderId="1" xfId="0" applyNumberFormat="1" applyFont="1" applyBorder="1"/>
    <xf numFmtId="0" fontId="11" fillId="0" borderId="1" xfId="0" applyFont="1" applyBorder="1"/>
    <xf numFmtId="0" fontId="12" fillId="0" borderId="0" xfId="0" applyFont="1"/>
    <xf numFmtId="4" fontId="1" fillId="0" borderId="1" xfId="0" applyNumberFormat="1" applyFont="1" applyBorder="1"/>
    <xf numFmtId="4" fontId="2" fillId="0" borderId="1" xfId="0" applyNumberFormat="1" applyFont="1" applyBorder="1"/>
    <xf numFmtId="4" fontId="5" fillId="0" borderId="1" xfId="0" applyNumberFormat="1" applyFont="1" applyBorder="1"/>
    <xf numFmtId="0" fontId="1" fillId="0" borderId="2" xfId="0" applyFont="1" applyBorder="1"/>
    <xf numFmtId="10" fontId="10" fillId="0" borderId="1" xfId="0" applyNumberFormat="1" applyFont="1" applyBorder="1"/>
    <xf numFmtId="10" fontId="4" fillId="2" borderId="1" xfId="0" applyNumberFormat="1" applyFont="1" applyFill="1" applyBorder="1"/>
    <xf numFmtId="4" fontId="10" fillId="0" borderId="3" xfId="0" applyNumberFormat="1" applyFont="1" applyBorder="1"/>
    <xf numFmtId="8" fontId="4" fillId="2" borderId="3" xfId="0" applyNumberFormat="1" applyFont="1" applyFill="1" applyBorder="1"/>
    <xf numFmtId="4" fontId="9" fillId="0" borderId="0" xfId="0" applyNumberFormat="1" applyFont="1"/>
    <xf numFmtId="0" fontId="16" fillId="0" borderId="1" xfId="0" applyFont="1" applyBorder="1"/>
    <xf numFmtId="4" fontId="14" fillId="0" borderId="2" xfId="0" applyNumberFormat="1" applyFont="1" applyBorder="1"/>
    <xf numFmtId="4" fontId="14" fillId="0" borderId="5" xfId="0" applyNumberFormat="1" applyFont="1" applyBorder="1"/>
    <xf numFmtId="4" fontId="15" fillId="0" borderId="5" xfId="0" applyNumberFormat="1" applyFont="1" applyBorder="1"/>
    <xf numFmtId="4" fontId="13" fillId="0" borderId="5" xfId="0" applyNumberFormat="1" applyFont="1" applyBorder="1"/>
    <xf numFmtId="8" fontId="4" fillId="2" borderId="2" xfId="0" applyNumberFormat="1" applyFont="1" applyFill="1" applyBorder="1"/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5" fontId="0" fillId="0" borderId="4" xfId="0" applyNumberFormat="1" applyBorder="1"/>
    <xf numFmtId="4" fontId="10" fillId="0" borderId="4" xfId="0" applyNumberFormat="1" applyFont="1" applyBorder="1"/>
    <xf numFmtId="8" fontId="4" fillId="2" borderId="4" xfId="0" applyNumberFormat="1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X75"/>
  <sheetViews>
    <sheetView tabSelected="1" topLeftCell="B1" workbookViewId="0">
      <pane ySplit="3" topLeftCell="A4" activePane="bottomLeft" state="frozen"/>
      <selection activeCell="E1" sqref="E1"/>
      <selection pane="bottomLeft" activeCell="J2" sqref="J2"/>
    </sheetView>
  </sheetViews>
  <sheetFormatPr baseColWidth="10" defaultColWidth="8.83203125" defaultRowHeight="15" x14ac:dyDescent="0.2"/>
  <cols>
    <col min="1" max="1" width="7.33203125" bestFit="1" customWidth="1"/>
    <col min="2" max="2" width="53.5" customWidth="1"/>
    <col min="3" max="3" width="28.5" customWidth="1"/>
    <col min="4" max="5" width="20.5" customWidth="1"/>
    <col min="6" max="10" width="24.33203125" customWidth="1"/>
    <col min="11" max="12" width="15.5" hidden="1" customWidth="1"/>
    <col min="13" max="13" width="14.6640625" hidden="1" customWidth="1"/>
    <col min="14" max="14" width="14.33203125" hidden="1" customWidth="1"/>
  </cols>
  <sheetData>
    <row r="1" spans="1:14" x14ac:dyDescent="0.2">
      <c r="A1" s="7" t="s">
        <v>0</v>
      </c>
      <c r="B1" s="6" t="s">
        <v>1</v>
      </c>
      <c r="C1" s="6" t="s">
        <v>2</v>
      </c>
      <c r="D1" s="6" t="s">
        <v>3</v>
      </c>
      <c r="E1" s="7" t="s">
        <v>248</v>
      </c>
      <c r="F1" s="34" t="s">
        <v>4</v>
      </c>
      <c r="G1" s="34" t="s">
        <v>5</v>
      </c>
      <c r="H1" s="33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</row>
    <row r="2" spans="1:14" x14ac:dyDescent="0.2">
      <c r="A2" s="21">
        <v>150242</v>
      </c>
      <c r="B2" s="1" t="s">
        <v>13</v>
      </c>
      <c r="C2" s="1" t="s">
        <v>246</v>
      </c>
      <c r="D2" s="27" t="s">
        <v>14</v>
      </c>
      <c r="E2" s="28">
        <v>844345.06</v>
      </c>
      <c r="F2" s="35">
        <v>451477.55</v>
      </c>
      <c r="G2" s="36">
        <v>189020.65</v>
      </c>
      <c r="H2" s="24">
        <f>E2-F2-G2</f>
        <v>203846.86000000007</v>
      </c>
      <c r="I2" s="15">
        <f>SUM(G2,H2)</f>
        <v>392867.51000000007</v>
      </c>
      <c r="J2" s="22">
        <f t="shared" ref="J2:J33" si="0">SUM(G2,H2)/E2</f>
        <v>0.46529260205537298</v>
      </c>
      <c r="K2" s="18">
        <v>269016.09999999998</v>
      </c>
      <c r="L2" s="2" t="s">
        <v>15</v>
      </c>
      <c r="M2" s="3" t="s">
        <v>16</v>
      </c>
      <c r="N2" s="3" t="s">
        <v>17</v>
      </c>
    </row>
    <row r="3" spans="1:14" x14ac:dyDescent="0.2">
      <c r="A3" s="21">
        <v>150242</v>
      </c>
      <c r="B3" s="1" t="s">
        <v>13</v>
      </c>
      <c r="C3" s="1" t="s">
        <v>247</v>
      </c>
      <c r="D3" s="27" t="s">
        <v>18</v>
      </c>
      <c r="E3" s="29">
        <v>137625.60999999999</v>
      </c>
      <c r="F3" s="35">
        <v>133568.65</v>
      </c>
      <c r="G3" s="36"/>
      <c r="H3" s="24">
        <f t="shared" ref="H3:H66" si="1">E3-F3-G3</f>
        <v>4056.9599999999919</v>
      </c>
      <c r="I3" s="15">
        <f>SUM(G3,H3)</f>
        <v>4056.9599999999919</v>
      </c>
      <c r="J3" s="22">
        <f t="shared" si="0"/>
        <v>2.9478234465227744E-2</v>
      </c>
      <c r="K3" s="18">
        <v>27046.400000000001</v>
      </c>
      <c r="L3" s="2" t="s">
        <v>15</v>
      </c>
      <c r="M3" s="3" t="s">
        <v>19</v>
      </c>
      <c r="N3" s="3" t="s">
        <v>20</v>
      </c>
    </row>
    <row r="4" spans="1:14" x14ac:dyDescent="0.2">
      <c r="A4" s="21">
        <v>150243</v>
      </c>
      <c r="B4" s="1" t="s">
        <v>21</v>
      </c>
      <c r="C4" s="1" t="s">
        <v>246</v>
      </c>
      <c r="D4" s="27" t="s">
        <v>22</v>
      </c>
      <c r="E4" s="29">
        <v>1102231.03</v>
      </c>
      <c r="F4" s="35">
        <v>858397.22</v>
      </c>
      <c r="G4" s="36">
        <v>59541.73</v>
      </c>
      <c r="H4" s="24">
        <f t="shared" si="1"/>
        <v>184292.08000000005</v>
      </c>
      <c r="I4" s="15">
        <f t="shared" ref="I4:I66" si="2">SUM(G4,H4)</f>
        <v>243833.81000000006</v>
      </c>
      <c r="J4" s="22">
        <f t="shared" si="0"/>
        <v>0.2212184227838333</v>
      </c>
      <c r="K4" s="18">
        <v>219578</v>
      </c>
      <c r="L4" s="2" t="s">
        <v>15</v>
      </c>
      <c r="M4" s="3" t="s">
        <v>23</v>
      </c>
      <c r="N4" s="3" t="s">
        <v>24</v>
      </c>
    </row>
    <row r="5" spans="1:14" x14ac:dyDescent="0.2">
      <c r="A5" s="21">
        <v>150243</v>
      </c>
      <c r="B5" s="1" t="s">
        <v>21</v>
      </c>
      <c r="C5" s="1" t="s">
        <v>247</v>
      </c>
      <c r="D5" s="27" t="s">
        <v>25</v>
      </c>
      <c r="E5" s="29">
        <v>137625.60999999999</v>
      </c>
      <c r="F5" s="35">
        <v>78527.199999999997</v>
      </c>
      <c r="G5" s="36">
        <v>55041.45</v>
      </c>
      <c r="H5" s="24">
        <f t="shared" si="1"/>
        <v>4056.9599999999919</v>
      </c>
      <c r="I5" s="15">
        <f t="shared" si="2"/>
        <v>59098.409999999989</v>
      </c>
      <c r="J5" s="22">
        <f t="shared" si="0"/>
        <v>0.42941433647414895</v>
      </c>
      <c r="K5" s="18">
        <v>27046.400000000001</v>
      </c>
      <c r="L5" s="2" t="s">
        <v>15</v>
      </c>
      <c r="M5" s="8" t="s">
        <v>26</v>
      </c>
      <c r="N5" s="8" t="s">
        <v>27</v>
      </c>
    </row>
    <row r="6" spans="1:14" x14ac:dyDescent="0.2">
      <c r="A6" s="21">
        <v>151833</v>
      </c>
      <c r="B6" s="1" t="s">
        <v>28</v>
      </c>
      <c r="C6" s="1" t="s">
        <v>246</v>
      </c>
      <c r="D6" s="27" t="s">
        <v>29</v>
      </c>
      <c r="E6" s="29">
        <v>498314.9</v>
      </c>
      <c r="F6" s="35">
        <v>349098.66</v>
      </c>
      <c r="G6" s="36">
        <v>86656.54</v>
      </c>
      <c r="H6" s="24">
        <f t="shared" si="1"/>
        <v>62559.700000000055</v>
      </c>
      <c r="I6" s="15">
        <f t="shared" si="2"/>
        <v>149216.24000000005</v>
      </c>
      <c r="J6" s="22">
        <f t="shared" si="0"/>
        <v>0.29944165827672431</v>
      </c>
      <c r="K6" s="18">
        <v>98689</v>
      </c>
      <c r="L6" s="2" t="s">
        <v>15</v>
      </c>
      <c r="M6" s="8" t="s">
        <v>30</v>
      </c>
      <c r="N6" s="8" t="s">
        <v>31</v>
      </c>
    </row>
    <row r="7" spans="1:14" x14ac:dyDescent="0.2">
      <c r="A7" s="21">
        <v>152364</v>
      </c>
      <c r="B7" s="1" t="s">
        <v>32</v>
      </c>
      <c r="C7" s="1" t="s">
        <v>247</v>
      </c>
      <c r="D7" s="27" t="s">
        <v>33</v>
      </c>
      <c r="E7" s="29">
        <v>94846.59</v>
      </c>
      <c r="F7" s="35">
        <v>45125.75</v>
      </c>
      <c r="G7" s="36">
        <v>46000</v>
      </c>
      <c r="H7" s="24">
        <f t="shared" si="1"/>
        <v>3720.8399999999965</v>
      </c>
      <c r="I7" s="15">
        <f t="shared" si="2"/>
        <v>49720.84</v>
      </c>
      <c r="J7" s="22">
        <f t="shared" si="0"/>
        <v>0.52422380182566397</v>
      </c>
      <c r="K7" s="18">
        <v>18639.400000000001</v>
      </c>
      <c r="L7" s="2" t="s">
        <v>15</v>
      </c>
      <c r="M7" s="8" t="s">
        <v>34</v>
      </c>
      <c r="N7" s="8" t="s">
        <v>35</v>
      </c>
    </row>
    <row r="8" spans="1:14" x14ac:dyDescent="0.2">
      <c r="A8" s="21">
        <v>152383</v>
      </c>
      <c r="B8" s="1" t="s">
        <v>36</v>
      </c>
      <c r="C8" s="1" t="s">
        <v>247</v>
      </c>
      <c r="D8" s="27" t="s">
        <v>37</v>
      </c>
      <c r="E8" s="29">
        <v>59278.99</v>
      </c>
      <c r="F8" s="35">
        <v>44143.37</v>
      </c>
      <c r="G8" s="36">
        <v>85</v>
      </c>
      <c r="H8" s="24">
        <f t="shared" si="1"/>
        <v>15050.619999999995</v>
      </c>
      <c r="I8" s="15">
        <f t="shared" si="2"/>
        <v>15135.619999999995</v>
      </c>
      <c r="J8" s="22">
        <f t="shared" si="0"/>
        <v>0.25532857425539801</v>
      </c>
      <c r="K8" s="18">
        <v>11649.6</v>
      </c>
      <c r="L8" s="2" t="s">
        <v>15</v>
      </c>
      <c r="M8" s="3" t="s">
        <v>38</v>
      </c>
      <c r="N8" s="3" t="s">
        <v>39</v>
      </c>
    </row>
    <row r="9" spans="1:14" x14ac:dyDescent="0.2">
      <c r="A9" s="21">
        <v>152386</v>
      </c>
      <c r="B9" s="1" t="s">
        <v>40</v>
      </c>
      <c r="C9" s="1" t="s">
        <v>247</v>
      </c>
      <c r="D9" s="27" t="s">
        <v>41</v>
      </c>
      <c r="E9" s="29">
        <v>414952.93</v>
      </c>
      <c r="F9" s="35">
        <v>280089.59999999998</v>
      </c>
      <c r="G9" s="36">
        <v>30212.93</v>
      </c>
      <c r="H9" s="24">
        <f t="shared" si="1"/>
        <v>104650.40000000002</v>
      </c>
      <c r="I9" s="15">
        <f t="shared" si="2"/>
        <v>134863.33000000002</v>
      </c>
      <c r="J9" s="22">
        <f t="shared" si="0"/>
        <v>0.32500874255786077</v>
      </c>
      <c r="K9" s="18">
        <v>81547.199999999997</v>
      </c>
      <c r="L9" s="2" t="s">
        <v>15</v>
      </c>
      <c r="M9" s="3" t="s">
        <v>42</v>
      </c>
      <c r="N9" s="3" t="s">
        <v>43</v>
      </c>
    </row>
    <row r="10" spans="1:14" x14ac:dyDescent="0.2">
      <c r="A10" s="21">
        <v>152387</v>
      </c>
      <c r="B10" s="1" t="s">
        <v>44</v>
      </c>
      <c r="C10" s="1" t="s">
        <v>247</v>
      </c>
      <c r="D10" s="27" t="s">
        <v>45</v>
      </c>
      <c r="E10" s="29">
        <v>355673.94</v>
      </c>
      <c r="F10" s="35">
        <v>334586.71999999997</v>
      </c>
      <c r="G10" s="36">
        <v>9690.61</v>
      </c>
      <c r="H10" s="24">
        <f t="shared" si="1"/>
        <v>11396.61000000003</v>
      </c>
      <c r="I10" s="15">
        <f t="shared" si="2"/>
        <v>21087.22000000003</v>
      </c>
      <c r="J10" s="22">
        <f t="shared" si="0"/>
        <v>5.9288065917902311E-2</v>
      </c>
      <c r="K10" s="18">
        <v>69897.600000000006</v>
      </c>
      <c r="L10" s="2" t="s">
        <v>15</v>
      </c>
      <c r="M10" s="3" t="s">
        <v>46</v>
      </c>
      <c r="N10" s="3" t="s">
        <v>47</v>
      </c>
    </row>
    <row r="11" spans="1:14" x14ac:dyDescent="0.2">
      <c r="A11" s="21">
        <v>154076</v>
      </c>
      <c r="B11" s="1" t="s">
        <v>48</v>
      </c>
      <c r="C11" s="1" t="s">
        <v>247</v>
      </c>
      <c r="D11" s="27" t="s">
        <v>49</v>
      </c>
      <c r="E11" s="29">
        <v>201548.36</v>
      </c>
      <c r="F11" s="35">
        <v>163622.60999999999</v>
      </c>
      <c r="G11" s="36">
        <v>28000</v>
      </c>
      <c r="H11" s="24">
        <f t="shared" si="1"/>
        <v>9925.75</v>
      </c>
      <c r="I11" s="15">
        <f t="shared" si="2"/>
        <v>37925.75</v>
      </c>
      <c r="J11" s="22">
        <f t="shared" si="0"/>
        <v>0.18817196031761313</v>
      </c>
      <c r="K11" s="18">
        <v>39608.6</v>
      </c>
      <c r="L11" s="2" t="s">
        <v>15</v>
      </c>
      <c r="M11" s="3" t="s">
        <v>50</v>
      </c>
      <c r="N11" s="3" t="s">
        <v>51</v>
      </c>
    </row>
    <row r="12" spans="1:14" x14ac:dyDescent="0.2">
      <c r="A12" s="21">
        <v>154078</v>
      </c>
      <c r="B12" s="1" t="s">
        <v>52</v>
      </c>
      <c r="C12" s="1" t="s">
        <v>247</v>
      </c>
      <c r="D12" s="27" t="s">
        <v>53</v>
      </c>
      <c r="E12" s="29">
        <v>82990.38</v>
      </c>
      <c r="F12" s="35">
        <v>66106.320000000007</v>
      </c>
      <c r="G12" s="36">
        <v>10119.34</v>
      </c>
      <c r="H12" s="24">
        <f t="shared" si="1"/>
        <v>6764.7199999999975</v>
      </c>
      <c r="I12" s="15">
        <f t="shared" si="2"/>
        <v>16884.059999999998</v>
      </c>
      <c r="J12" s="22">
        <f t="shared" si="0"/>
        <v>0.20344598976411479</v>
      </c>
      <c r="K12" s="18">
        <v>16309.4</v>
      </c>
      <c r="L12" s="2" t="s">
        <v>15</v>
      </c>
      <c r="M12" s="3" t="s">
        <v>54</v>
      </c>
      <c r="N12" s="3" t="s">
        <v>55</v>
      </c>
    </row>
    <row r="13" spans="1:14" x14ac:dyDescent="0.2">
      <c r="A13" s="21">
        <v>154151</v>
      </c>
      <c r="B13" s="1" t="s">
        <v>56</v>
      </c>
      <c r="C13" s="1" t="s">
        <v>247</v>
      </c>
      <c r="D13" s="27" t="s">
        <v>57</v>
      </c>
      <c r="E13" s="29">
        <v>414952.93</v>
      </c>
      <c r="F13" s="35">
        <v>237919.63</v>
      </c>
      <c r="G13" s="36">
        <v>42127.34</v>
      </c>
      <c r="H13" s="24">
        <f t="shared" si="1"/>
        <v>134905.96</v>
      </c>
      <c r="I13" s="15">
        <f t="shared" si="2"/>
        <v>177033.3</v>
      </c>
      <c r="J13" s="22">
        <f t="shared" si="0"/>
        <v>0.42663465468239975</v>
      </c>
      <c r="K13" s="18">
        <v>81547.199999999997</v>
      </c>
      <c r="L13" s="2" t="s">
        <v>15</v>
      </c>
      <c r="M13" s="3" t="s">
        <v>58</v>
      </c>
      <c r="N13" s="3" t="s">
        <v>59</v>
      </c>
    </row>
    <row r="14" spans="1:14" x14ac:dyDescent="0.2">
      <c r="A14" s="21">
        <v>154152</v>
      </c>
      <c r="B14" s="1" t="s">
        <v>60</v>
      </c>
      <c r="C14" s="1" t="s">
        <v>247</v>
      </c>
      <c r="D14" s="27" t="s">
        <v>61</v>
      </c>
      <c r="E14" s="29">
        <v>414952.93</v>
      </c>
      <c r="F14" s="35">
        <v>268142.86</v>
      </c>
      <c r="G14" s="36">
        <v>84430.2</v>
      </c>
      <c r="H14" s="24">
        <f t="shared" si="1"/>
        <v>62379.87000000001</v>
      </c>
      <c r="I14" s="15">
        <f t="shared" si="2"/>
        <v>146810.07</v>
      </c>
      <c r="J14" s="22">
        <f t="shared" si="0"/>
        <v>0.3537993333364341</v>
      </c>
      <c r="K14" s="18">
        <v>81547.199999999997</v>
      </c>
      <c r="L14" s="2" t="s">
        <v>15</v>
      </c>
      <c r="M14" s="3" t="s">
        <v>62</v>
      </c>
      <c r="N14" s="3" t="s">
        <v>63</v>
      </c>
    </row>
    <row r="15" spans="1:14" x14ac:dyDescent="0.2">
      <c r="A15" s="21">
        <v>154153</v>
      </c>
      <c r="B15" s="1" t="s">
        <v>64</v>
      </c>
      <c r="C15" s="1" t="s">
        <v>247</v>
      </c>
      <c r="D15" s="27" t="s">
        <v>65</v>
      </c>
      <c r="E15" s="29">
        <v>355673.94</v>
      </c>
      <c r="F15" s="35">
        <v>304325.40000000002</v>
      </c>
      <c r="G15" s="36">
        <v>26715.9</v>
      </c>
      <c r="H15" s="24">
        <f t="shared" si="1"/>
        <v>24632.639999999978</v>
      </c>
      <c r="I15" s="15">
        <f t="shared" si="2"/>
        <v>51348.539999999979</v>
      </c>
      <c r="J15" s="22">
        <f t="shared" si="0"/>
        <v>0.14436969995608895</v>
      </c>
      <c r="K15" s="18">
        <v>69897.600000000006</v>
      </c>
      <c r="L15" s="2" t="s">
        <v>15</v>
      </c>
      <c r="M15" s="3" t="s">
        <v>66</v>
      </c>
      <c r="N15" s="3" t="s">
        <v>67</v>
      </c>
    </row>
    <row r="16" spans="1:14" x14ac:dyDescent="0.2">
      <c r="A16" s="21">
        <v>154154</v>
      </c>
      <c r="B16" s="1" t="s">
        <v>68</v>
      </c>
      <c r="C16" s="1" t="s">
        <v>247</v>
      </c>
      <c r="D16" s="27" t="s">
        <v>69</v>
      </c>
      <c r="E16" s="29">
        <v>296394.95</v>
      </c>
      <c r="F16" s="35">
        <v>261100.12</v>
      </c>
      <c r="G16" s="36">
        <v>27190</v>
      </c>
      <c r="H16" s="24">
        <f t="shared" si="1"/>
        <v>8104.8300000000163</v>
      </c>
      <c r="I16" s="15">
        <f t="shared" si="2"/>
        <v>35294.830000000016</v>
      </c>
      <c r="J16" s="22">
        <f t="shared" si="0"/>
        <v>0.11908040268567334</v>
      </c>
      <c r="K16" s="18">
        <v>58248</v>
      </c>
      <c r="L16" s="2" t="s">
        <v>15</v>
      </c>
      <c r="M16" s="3" t="s">
        <v>70</v>
      </c>
      <c r="N16" s="3" t="s">
        <v>71</v>
      </c>
    </row>
    <row r="17" spans="1:14 16378:16378" x14ac:dyDescent="0.2">
      <c r="A17" s="21">
        <v>154155</v>
      </c>
      <c r="B17" s="1" t="s">
        <v>72</v>
      </c>
      <c r="C17" s="1" t="s">
        <v>247</v>
      </c>
      <c r="D17" s="27" t="s">
        <v>73</v>
      </c>
      <c r="E17" s="29">
        <v>142269.37</v>
      </c>
      <c r="F17" s="35">
        <v>14122.34</v>
      </c>
      <c r="G17" s="36">
        <v>18530</v>
      </c>
      <c r="H17" s="24">
        <f t="shared" si="1"/>
        <v>109617.03</v>
      </c>
      <c r="I17" s="15">
        <f t="shared" si="2"/>
        <v>128147.03</v>
      </c>
      <c r="J17" s="22">
        <f t="shared" si="0"/>
        <v>0.90073520393040329</v>
      </c>
      <c r="K17" s="19">
        <v>69897.5</v>
      </c>
      <c r="L17" s="20" t="s">
        <v>15</v>
      </c>
      <c r="M17" s="8" t="s">
        <v>74</v>
      </c>
      <c r="N17" s="8" t="s">
        <v>75</v>
      </c>
    </row>
    <row r="18" spans="1:14 16378:16378" x14ac:dyDescent="0.2">
      <c r="A18" s="21">
        <v>154156</v>
      </c>
      <c r="B18" s="1" t="s">
        <v>76</v>
      </c>
      <c r="C18" s="1" t="s">
        <v>247</v>
      </c>
      <c r="D18" s="27" t="s">
        <v>77</v>
      </c>
      <c r="E18" s="29">
        <v>414952.93</v>
      </c>
      <c r="F18" s="35">
        <v>309573.53000000003</v>
      </c>
      <c r="G18" s="36">
        <v>59617.21</v>
      </c>
      <c r="H18" s="24">
        <f t="shared" si="1"/>
        <v>45762.189999999966</v>
      </c>
      <c r="I18" s="15">
        <f t="shared" si="2"/>
        <v>105379.39999999997</v>
      </c>
      <c r="J18" s="22">
        <f t="shared" si="0"/>
        <v>0.25395506907253301</v>
      </c>
      <c r="K18" s="18">
        <v>101547.2</v>
      </c>
      <c r="L18" s="2" t="s">
        <v>15</v>
      </c>
      <c r="M18" s="3" t="s">
        <v>78</v>
      </c>
      <c r="N18" s="3" t="s">
        <v>79</v>
      </c>
    </row>
    <row r="19" spans="1:14 16378:16378" x14ac:dyDescent="0.2">
      <c r="A19" s="21">
        <v>154157</v>
      </c>
      <c r="B19" s="1" t="s">
        <v>80</v>
      </c>
      <c r="C19" s="1" t="s">
        <v>246</v>
      </c>
      <c r="D19" s="27" t="s">
        <v>81</v>
      </c>
      <c r="E19" s="29">
        <v>1169038.72</v>
      </c>
      <c r="F19" s="35">
        <v>647120.30000000005</v>
      </c>
      <c r="G19" s="36">
        <v>409406.71999999997</v>
      </c>
      <c r="H19" s="24">
        <f t="shared" si="1"/>
        <v>112511.69999999995</v>
      </c>
      <c r="I19" s="15">
        <f t="shared" si="2"/>
        <v>521918.41999999993</v>
      </c>
      <c r="J19" s="22">
        <f t="shared" si="0"/>
        <v>0.44645092679222803</v>
      </c>
      <c r="K19" s="18">
        <v>233807.8</v>
      </c>
      <c r="L19" s="2" t="s">
        <v>15</v>
      </c>
      <c r="M19" s="3" t="s">
        <v>82</v>
      </c>
      <c r="N19" s="3" t="s">
        <v>83</v>
      </c>
    </row>
    <row r="20" spans="1:14 16378:16378" x14ac:dyDescent="0.2">
      <c r="A20" s="21">
        <v>154158</v>
      </c>
      <c r="B20" s="1" t="s">
        <v>84</v>
      </c>
      <c r="C20" s="1" t="s">
        <v>246</v>
      </c>
      <c r="D20" s="27" t="s">
        <v>85</v>
      </c>
      <c r="E20" s="29">
        <v>1335707.92</v>
      </c>
      <c r="F20" s="35">
        <v>681391.22</v>
      </c>
      <c r="G20" s="36">
        <v>179181.12</v>
      </c>
      <c r="H20" s="24">
        <f t="shared" si="1"/>
        <v>475135.57999999996</v>
      </c>
      <c r="I20" s="15">
        <f t="shared" si="2"/>
        <v>654316.69999999995</v>
      </c>
      <c r="J20" s="22">
        <f t="shared" si="0"/>
        <v>0.48986510464054145</v>
      </c>
      <c r="K20" s="18">
        <v>370654.22</v>
      </c>
      <c r="L20" s="2" t="s">
        <v>15</v>
      </c>
      <c r="M20" s="3" t="s">
        <v>86</v>
      </c>
      <c r="N20" s="3" t="s">
        <v>87</v>
      </c>
    </row>
    <row r="21" spans="1:14 16378:16378" x14ac:dyDescent="0.2">
      <c r="A21" s="21">
        <v>154159</v>
      </c>
      <c r="B21" s="1" t="s">
        <v>88</v>
      </c>
      <c r="C21" s="1" t="s">
        <v>246</v>
      </c>
      <c r="D21" s="27" t="s">
        <v>89</v>
      </c>
      <c r="E21" s="29">
        <v>948407.35</v>
      </c>
      <c r="F21" s="35">
        <v>590912.89</v>
      </c>
      <c r="G21" s="36">
        <v>214304.19</v>
      </c>
      <c r="H21" s="24">
        <f t="shared" si="1"/>
        <v>143190.26999999996</v>
      </c>
      <c r="I21" s="15">
        <f t="shared" si="2"/>
        <v>357494.45999999996</v>
      </c>
      <c r="J21" s="22">
        <f t="shared" si="0"/>
        <v>0.37694189105556802</v>
      </c>
      <c r="K21" s="18">
        <v>189681.4</v>
      </c>
      <c r="L21" s="2" t="s">
        <v>15</v>
      </c>
      <c r="M21" s="3" t="s">
        <v>90</v>
      </c>
      <c r="N21" s="3" t="s">
        <v>91</v>
      </c>
    </row>
    <row r="22" spans="1:14 16378:16378" x14ac:dyDescent="0.2">
      <c r="A22" s="21">
        <v>154160</v>
      </c>
      <c r="B22" s="1" t="s">
        <v>92</v>
      </c>
      <c r="C22" s="1" t="s">
        <v>246</v>
      </c>
      <c r="D22" s="27" t="s">
        <v>93</v>
      </c>
      <c r="E22" s="29">
        <v>1014441.32</v>
      </c>
      <c r="F22" s="35">
        <v>614253.63</v>
      </c>
      <c r="G22" s="36">
        <v>264473.43</v>
      </c>
      <c r="H22" s="24">
        <f t="shared" si="1"/>
        <v>135714.25999999995</v>
      </c>
      <c r="I22" s="15">
        <f t="shared" si="2"/>
        <v>400187.68999999994</v>
      </c>
      <c r="J22" s="22">
        <f t="shared" si="0"/>
        <v>0.39449072322882112</v>
      </c>
      <c r="K22" s="18">
        <v>202888.2</v>
      </c>
      <c r="L22" s="2" t="s">
        <v>15</v>
      </c>
      <c r="M22" s="3" t="s">
        <v>94</v>
      </c>
      <c r="N22" s="3" t="s">
        <v>95</v>
      </c>
    </row>
    <row r="23" spans="1:14 16378:16378" x14ac:dyDescent="0.2">
      <c r="A23" s="21">
        <v>154161</v>
      </c>
      <c r="B23" s="1" t="s">
        <v>96</v>
      </c>
      <c r="C23" s="1" t="s">
        <v>246</v>
      </c>
      <c r="D23" s="27" t="s">
        <v>97</v>
      </c>
      <c r="E23" s="29">
        <v>732719.79</v>
      </c>
      <c r="F23" s="35">
        <v>400325.18</v>
      </c>
      <c r="G23" s="36">
        <v>170413.53</v>
      </c>
      <c r="H23" s="24">
        <f t="shared" si="1"/>
        <v>161981.08000000005</v>
      </c>
      <c r="I23" s="15">
        <f t="shared" si="2"/>
        <v>332394.61000000004</v>
      </c>
      <c r="J23" s="22">
        <f t="shared" si="0"/>
        <v>0.453644919294455</v>
      </c>
      <c r="K23" s="18">
        <v>196544</v>
      </c>
      <c r="L23" s="2" t="s">
        <v>15</v>
      </c>
      <c r="M23" s="3" t="s">
        <v>98</v>
      </c>
      <c r="N23" s="3" t="s">
        <v>99</v>
      </c>
    </row>
    <row r="24" spans="1:14 16378:16378" x14ac:dyDescent="0.2">
      <c r="A24" s="21">
        <v>154162</v>
      </c>
      <c r="B24" s="1" t="s">
        <v>100</v>
      </c>
      <c r="C24" s="1" t="s">
        <v>246</v>
      </c>
      <c r="D24" s="27" t="s">
        <v>101</v>
      </c>
      <c r="E24" s="29">
        <v>1667846.99</v>
      </c>
      <c r="F24" s="35">
        <v>577976.44999999995</v>
      </c>
      <c r="G24" s="36">
        <v>692092.72</v>
      </c>
      <c r="H24" s="24">
        <f t="shared" si="1"/>
        <v>397777.82000000007</v>
      </c>
      <c r="I24" s="15">
        <f t="shared" si="2"/>
        <v>1089870.54</v>
      </c>
      <c r="J24" s="22">
        <f t="shared" si="0"/>
        <v>0.65345954786895655</v>
      </c>
      <c r="K24" s="18">
        <v>745667.1599999998</v>
      </c>
      <c r="L24" s="2" t="s">
        <v>15</v>
      </c>
      <c r="M24" s="3" t="s">
        <v>102</v>
      </c>
      <c r="N24" s="3" t="s">
        <v>103</v>
      </c>
    </row>
    <row r="25" spans="1:14 16378:16378" x14ac:dyDescent="0.2">
      <c r="A25" s="21">
        <v>154163</v>
      </c>
      <c r="B25" s="1" t="s">
        <v>104</v>
      </c>
      <c r="C25" s="1" t="s">
        <v>246</v>
      </c>
      <c r="D25" s="27" t="s">
        <v>105</v>
      </c>
      <c r="E25" s="29">
        <v>1676949.4</v>
      </c>
      <c r="F25" s="35">
        <v>1479032.34</v>
      </c>
      <c r="G25" s="36">
        <v>121525</v>
      </c>
      <c r="H25" s="24">
        <f t="shared" si="1"/>
        <v>76392.059999999823</v>
      </c>
      <c r="I25" s="15">
        <f t="shared" si="2"/>
        <v>197917.05999999982</v>
      </c>
      <c r="J25" s="22">
        <f t="shared" si="0"/>
        <v>0.11802208224052546</v>
      </c>
      <c r="K25" s="18">
        <v>312844.79999999999</v>
      </c>
      <c r="L25" s="3" t="s">
        <v>106</v>
      </c>
      <c r="M25" s="12" t="s">
        <v>107</v>
      </c>
      <c r="N25" s="12" t="s">
        <v>108</v>
      </c>
      <c r="XEX25" s="3"/>
    </row>
    <row r="26" spans="1:14 16378:16378" x14ac:dyDescent="0.2">
      <c r="A26" s="21">
        <v>154164</v>
      </c>
      <c r="B26" s="1" t="s">
        <v>109</v>
      </c>
      <c r="C26" s="1" t="s">
        <v>246</v>
      </c>
      <c r="D26" s="27" t="s">
        <v>110</v>
      </c>
      <c r="E26" s="30">
        <v>1144874.96</v>
      </c>
      <c r="F26" s="35">
        <v>678695.78</v>
      </c>
      <c r="G26" s="36">
        <v>386519.6</v>
      </c>
      <c r="H26" s="24">
        <f t="shared" si="1"/>
        <v>79659.579999999958</v>
      </c>
      <c r="I26" s="15">
        <f t="shared" si="2"/>
        <v>466179.17999999993</v>
      </c>
      <c r="J26" s="22">
        <f t="shared" si="0"/>
        <v>0.4071878556938654</v>
      </c>
      <c r="K26" s="18">
        <v>228975</v>
      </c>
      <c r="L26" s="3" t="s">
        <v>106</v>
      </c>
      <c r="M26" s="12" t="s">
        <v>111</v>
      </c>
      <c r="N26" s="12" t="s">
        <v>112</v>
      </c>
    </row>
    <row r="27" spans="1:14 16378:16378" x14ac:dyDescent="0.2">
      <c r="A27" s="21">
        <v>154165</v>
      </c>
      <c r="B27" s="1" t="s">
        <v>113</v>
      </c>
      <c r="C27" s="1" t="s">
        <v>246</v>
      </c>
      <c r="D27" s="27" t="s">
        <v>114</v>
      </c>
      <c r="E27" s="30">
        <v>744320.83</v>
      </c>
      <c r="F27" s="35">
        <v>435234.08</v>
      </c>
      <c r="G27" s="36">
        <v>148212.26</v>
      </c>
      <c r="H27" s="24">
        <f t="shared" si="1"/>
        <v>160874.48999999993</v>
      </c>
      <c r="I27" s="15">
        <f t="shared" si="2"/>
        <v>309086.74999999994</v>
      </c>
      <c r="J27" s="22">
        <f t="shared" si="0"/>
        <v>0.41526011034784549</v>
      </c>
      <c r="K27" s="18">
        <v>236864.2</v>
      </c>
      <c r="L27" s="3" t="s">
        <v>106</v>
      </c>
      <c r="M27" s="12" t="s">
        <v>115</v>
      </c>
      <c r="N27" s="12" t="s">
        <v>116</v>
      </c>
    </row>
    <row r="28" spans="1:14 16378:16378" x14ac:dyDescent="0.2">
      <c r="A28" s="21">
        <v>154166</v>
      </c>
      <c r="B28" s="1" t="s">
        <v>117</v>
      </c>
      <c r="C28" s="1" t="s">
        <v>246</v>
      </c>
      <c r="D28" s="27" t="s">
        <v>118</v>
      </c>
      <c r="E28" s="30">
        <v>886677.96</v>
      </c>
      <c r="F28" s="35">
        <v>484663.5</v>
      </c>
      <c r="G28" s="36">
        <v>197931.78</v>
      </c>
      <c r="H28" s="24">
        <f t="shared" si="1"/>
        <v>204082.67999999996</v>
      </c>
      <c r="I28" s="15">
        <f t="shared" si="2"/>
        <v>402014.45999999996</v>
      </c>
      <c r="J28" s="22">
        <f t="shared" si="0"/>
        <v>0.45339399210960424</v>
      </c>
      <c r="K28" s="18">
        <v>267437.43</v>
      </c>
      <c r="L28" s="3" t="s">
        <v>106</v>
      </c>
      <c r="M28" s="12" t="s">
        <v>119</v>
      </c>
      <c r="N28" s="12" t="s">
        <v>120</v>
      </c>
    </row>
    <row r="29" spans="1:14 16378:16378" x14ac:dyDescent="0.2">
      <c r="A29" s="21">
        <v>154167</v>
      </c>
      <c r="B29" s="1" t="s">
        <v>121</v>
      </c>
      <c r="C29" s="1" t="s">
        <v>246</v>
      </c>
      <c r="D29" s="27" t="s">
        <v>122</v>
      </c>
      <c r="E29" s="30">
        <v>926238.37</v>
      </c>
      <c r="F29" s="35">
        <v>707301.99</v>
      </c>
      <c r="G29" s="36">
        <v>100530.68</v>
      </c>
      <c r="H29" s="24">
        <f t="shared" si="1"/>
        <v>118405.70000000001</v>
      </c>
      <c r="I29" s="15">
        <f t="shared" si="2"/>
        <v>218936.38</v>
      </c>
      <c r="J29" s="22">
        <f t="shared" si="0"/>
        <v>0.23637152928570646</v>
      </c>
      <c r="K29" s="18">
        <v>185247.6</v>
      </c>
      <c r="L29" s="3" t="s">
        <v>106</v>
      </c>
      <c r="M29" s="12" t="s">
        <v>123</v>
      </c>
      <c r="N29" s="12" t="s">
        <v>124</v>
      </c>
    </row>
    <row r="30" spans="1:14 16378:16378" x14ac:dyDescent="0.2">
      <c r="A30" s="21">
        <v>154168</v>
      </c>
      <c r="B30" s="1" t="s">
        <v>125</v>
      </c>
      <c r="C30" s="1" t="s">
        <v>247</v>
      </c>
      <c r="D30" s="27" t="s">
        <v>126</v>
      </c>
      <c r="E30" s="30">
        <v>355673.94</v>
      </c>
      <c r="F30" s="35">
        <v>187200.63</v>
      </c>
      <c r="G30" s="36">
        <v>133311.26</v>
      </c>
      <c r="H30" s="24">
        <f t="shared" si="1"/>
        <v>35162.049999999988</v>
      </c>
      <c r="I30" s="15">
        <f t="shared" si="2"/>
        <v>168473.31</v>
      </c>
      <c r="J30" s="22">
        <f t="shared" si="0"/>
        <v>0.47367347183209429</v>
      </c>
      <c r="K30" s="18">
        <v>69897.600000000006</v>
      </c>
      <c r="L30" s="3" t="s">
        <v>106</v>
      </c>
      <c r="M30" s="12" t="s">
        <v>127</v>
      </c>
      <c r="N30" s="12" t="s">
        <v>128</v>
      </c>
    </row>
    <row r="31" spans="1:14 16378:16378" x14ac:dyDescent="0.2">
      <c r="A31" s="21">
        <v>154169</v>
      </c>
      <c r="B31" s="1" t="s">
        <v>129</v>
      </c>
      <c r="C31" s="1" t="s">
        <v>246</v>
      </c>
      <c r="D31" s="27" t="s">
        <v>130</v>
      </c>
      <c r="E31" s="30">
        <v>807803.56</v>
      </c>
      <c r="F31" s="35">
        <v>570361.56999999995</v>
      </c>
      <c r="G31" s="36">
        <v>138312.35999999999</v>
      </c>
      <c r="H31" s="24">
        <f t="shared" si="1"/>
        <v>99129.630000000121</v>
      </c>
      <c r="I31" s="15">
        <f t="shared" si="2"/>
        <v>237441.99000000011</v>
      </c>
      <c r="J31" s="22">
        <f t="shared" si="0"/>
        <v>0.29393531021329011</v>
      </c>
      <c r="K31" s="18">
        <v>161560.79999999999</v>
      </c>
      <c r="L31" s="3" t="s">
        <v>106</v>
      </c>
      <c r="M31" s="12" t="s">
        <v>131</v>
      </c>
      <c r="N31" s="12" t="s">
        <v>132</v>
      </c>
    </row>
    <row r="32" spans="1:14 16378:16378" x14ac:dyDescent="0.2">
      <c r="A32" s="21">
        <v>154173</v>
      </c>
      <c r="B32" s="1" t="s">
        <v>133</v>
      </c>
      <c r="C32" s="1" t="s">
        <v>247</v>
      </c>
      <c r="D32" s="27" t="s">
        <v>134</v>
      </c>
      <c r="E32" s="30">
        <v>94846.59</v>
      </c>
      <c r="F32" s="35">
        <v>67651.94</v>
      </c>
      <c r="G32" s="36">
        <v>14000</v>
      </c>
      <c r="H32" s="24">
        <f t="shared" si="1"/>
        <v>13194.649999999994</v>
      </c>
      <c r="I32" s="15">
        <f t="shared" si="2"/>
        <v>27194.649999999994</v>
      </c>
      <c r="J32" s="22">
        <f t="shared" si="0"/>
        <v>0.2867224852258789</v>
      </c>
      <c r="K32" s="18">
        <v>18639.400000000001</v>
      </c>
      <c r="L32" s="3" t="s">
        <v>106</v>
      </c>
      <c r="M32" s="12" t="s">
        <v>135</v>
      </c>
      <c r="N32" s="12" t="s">
        <v>136</v>
      </c>
    </row>
    <row r="33" spans="1:14" x14ac:dyDescent="0.2">
      <c r="A33" s="21">
        <v>154175</v>
      </c>
      <c r="B33" s="1" t="s">
        <v>137</v>
      </c>
      <c r="C33" s="1" t="s">
        <v>247</v>
      </c>
      <c r="D33" s="27" t="s">
        <v>138</v>
      </c>
      <c r="E33" s="30">
        <v>142269.37</v>
      </c>
      <c r="F33" s="35">
        <v>33591.47</v>
      </c>
      <c r="G33" s="36">
        <v>47806.9</v>
      </c>
      <c r="H33" s="24">
        <f t="shared" si="1"/>
        <v>60870.999999999993</v>
      </c>
      <c r="I33" s="15">
        <f t="shared" si="2"/>
        <v>108677.9</v>
      </c>
      <c r="J33" s="22">
        <f t="shared" si="0"/>
        <v>0.7638882494524295</v>
      </c>
      <c r="K33" s="19">
        <v>69897.5</v>
      </c>
      <c r="L33" s="8" t="s">
        <v>106</v>
      </c>
      <c r="M33" s="16" t="s">
        <v>139</v>
      </c>
      <c r="N33" s="16" t="s">
        <v>140</v>
      </c>
    </row>
    <row r="34" spans="1:14" x14ac:dyDescent="0.2">
      <c r="A34" s="21">
        <v>154188</v>
      </c>
      <c r="B34" s="1" t="s">
        <v>141</v>
      </c>
      <c r="C34" s="1" t="s">
        <v>246</v>
      </c>
      <c r="D34" s="27" t="s">
        <v>142</v>
      </c>
      <c r="E34" s="30">
        <v>1159419.75</v>
      </c>
      <c r="F34" s="35">
        <v>743499.85</v>
      </c>
      <c r="G34" s="36">
        <v>286955</v>
      </c>
      <c r="H34" s="24">
        <f t="shared" si="1"/>
        <v>128964.90000000002</v>
      </c>
      <c r="I34" s="15">
        <f t="shared" si="2"/>
        <v>415919.9</v>
      </c>
      <c r="J34" s="22">
        <f t="shared" ref="J34:J67" si="3">SUM(G34,H34)/E34</f>
        <v>0.3587310807841595</v>
      </c>
      <c r="K34" s="18">
        <v>231884</v>
      </c>
      <c r="L34" s="3" t="s">
        <v>106</v>
      </c>
      <c r="M34" s="13" t="s">
        <v>143</v>
      </c>
      <c r="N34" s="13" t="s">
        <v>144</v>
      </c>
    </row>
    <row r="35" spans="1:14" x14ac:dyDescent="0.2">
      <c r="A35" s="21">
        <v>154190</v>
      </c>
      <c r="B35" s="1" t="s">
        <v>145</v>
      </c>
      <c r="C35" s="1" t="s">
        <v>247</v>
      </c>
      <c r="D35" s="27" t="s">
        <v>146</v>
      </c>
      <c r="E35" s="30">
        <v>142269.37</v>
      </c>
      <c r="F35" s="35">
        <v>103525.95</v>
      </c>
      <c r="G35" s="36">
        <v>33600</v>
      </c>
      <c r="H35" s="24">
        <f t="shared" si="1"/>
        <v>5143.4199999999983</v>
      </c>
      <c r="I35" s="15">
        <f t="shared" si="2"/>
        <v>38743.42</v>
      </c>
      <c r="J35" s="22">
        <f t="shared" si="3"/>
        <v>0.2723243942107848</v>
      </c>
      <c r="K35" s="18">
        <v>27959</v>
      </c>
      <c r="L35" s="3" t="s">
        <v>106</v>
      </c>
      <c r="M35" s="14" t="s">
        <v>147</v>
      </c>
      <c r="N35" s="14" t="s">
        <v>148</v>
      </c>
    </row>
    <row r="36" spans="1:14" x14ac:dyDescent="0.2">
      <c r="A36" s="21">
        <v>154191</v>
      </c>
      <c r="B36" s="1" t="s">
        <v>149</v>
      </c>
      <c r="C36" s="1" t="s">
        <v>247</v>
      </c>
      <c r="D36" s="27" t="s">
        <v>150</v>
      </c>
      <c r="E36" s="30">
        <v>414952.93</v>
      </c>
      <c r="F36" s="35">
        <v>237537.74</v>
      </c>
      <c r="G36" s="36">
        <v>73630.990000000005</v>
      </c>
      <c r="H36" s="24">
        <f t="shared" si="1"/>
        <v>103784.2</v>
      </c>
      <c r="I36" s="15">
        <f t="shared" si="2"/>
        <v>177415.19</v>
      </c>
      <c r="J36" s="22">
        <f t="shared" si="3"/>
        <v>0.4275549759342584</v>
      </c>
      <c r="K36" s="18">
        <v>111347.2</v>
      </c>
      <c r="L36" s="3" t="s">
        <v>106</v>
      </c>
      <c r="M36" s="14" t="s">
        <v>151</v>
      </c>
      <c r="N36" s="14" t="s">
        <v>152</v>
      </c>
    </row>
    <row r="37" spans="1:14" x14ac:dyDescent="0.2">
      <c r="A37" s="21">
        <v>154197</v>
      </c>
      <c r="B37" s="1" t="s">
        <v>153</v>
      </c>
      <c r="C37" s="1" t="s">
        <v>247</v>
      </c>
      <c r="D37" s="27" t="s">
        <v>154</v>
      </c>
      <c r="E37" s="30">
        <v>201548.36</v>
      </c>
      <c r="F37" s="35">
        <v>160706.96</v>
      </c>
      <c r="G37" s="36">
        <v>11030</v>
      </c>
      <c r="H37" s="24">
        <f t="shared" si="1"/>
        <v>29811.399999999994</v>
      </c>
      <c r="I37" s="15">
        <f t="shared" si="2"/>
        <v>40841.399999999994</v>
      </c>
      <c r="J37" s="22">
        <f t="shared" si="3"/>
        <v>0.20263821546352448</v>
      </c>
      <c r="K37" s="18">
        <v>39608.6</v>
      </c>
      <c r="L37" s="3" t="s">
        <v>106</v>
      </c>
      <c r="M37" s="14" t="s">
        <v>155</v>
      </c>
      <c r="N37" s="14" t="s">
        <v>156</v>
      </c>
    </row>
    <row r="38" spans="1:14" x14ac:dyDescent="0.2">
      <c r="A38" s="21">
        <v>154218</v>
      </c>
      <c r="B38" s="1" t="s">
        <v>157</v>
      </c>
      <c r="C38" s="1" t="s">
        <v>247</v>
      </c>
      <c r="D38" s="27" t="s">
        <v>158</v>
      </c>
      <c r="E38" s="30">
        <v>82990.38</v>
      </c>
      <c r="F38" s="35">
        <v>64080.75</v>
      </c>
      <c r="G38" s="36">
        <v>12232.05</v>
      </c>
      <c r="H38" s="24">
        <f t="shared" si="1"/>
        <v>6677.5800000000054</v>
      </c>
      <c r="I38" s="15">
        <f t="shared" si="2"/>
        <v>18909.630000000005</v>
      </c>
      <c r="J38" s="22">
        <f t="shared" si="3"/>
        <v>0.22785327648819059</v>
      </c>
      <c r="K38" s="18">
        <v>16309.4</v>
      </c>
      <c r="L38" s="3" t="s">
        <v>106</v>
      </c>
      <c r="M38" s="14" t="s">
        <v>159</v>
      </c>
      <c r="N38" s="14" t="s">
        <v>160</v>
      </c>
    </row>
    <row r="39" spans="1:14" x14ac:dyDescent="0.2">
      <c r="A39" s="21">
        <v>154221</v>
      </c>
      <c r="B39" s="1" t="s">
        <v>161</v>
      </c>
      <c r="C39" s="1" t="s">
        <v>247</v>
      </c>
      <c r="D39" s="27" t="s">
        <v>162</v>
      </c>
      <c r="E39" s="31">
        <v>82990.38</v>
      </c>
      <c r="F39" s="35">
        <v>62468.69</v>
      </c>
      <c r="G39" s="36">
        <v>11792.69</v>
      </c>
      <c r="H39" s="24">
        <f t="shared" si="1"/>
        <v>8729.0000000000018</v>
      </c>
      <c r="I39" s="15">
        <f t="shared" si="2"/>
        <v>20521.690000000002</v>
      </c>
      <c r="J39" s="22">
        <f t="shared" si="3"/>
        <v>0.24727793751516744</v>
      </c>
      <c r="K39" s="18">
        <v>16309.4</v>
      </c>
      <c r="L39" s="3" t="s">
        <v>106</v>
      </c>
      <c r="M39" s="13" t="s">
        <v>163</v>
      </c>
      <c r="N39" s="13" t="s">
        <v>164</v>
      </c>
    </row>
    <row r="40" spans="1:14" x14ac:dyDescent="0.2">
      <c r="A40" s="21">
        <v>154222</v>
      </c>
      <c r="B40" s="1" t="s">
        <v>165</v>
      </c>
      <c r="C40" s="1" t="s">
        <v>247</v>
      </c>
      <c r="D40" s="27" t="s">
        <v>166</v>
      </c>
      <c r="E40" s="31">
        <v>59278.99</v>
      </c>
      <c r="F40" s="35">
        <v>34099.769999999997</v>
      </c>
      <c r="G40" s="36">
        <v>22131</v>
      </c>
      <c r="H40" s="24">
        <f t="shared" si="1"/>
        <v>3048.2200000000012</v>
      </c>
      <c r="I40" s="15">
        <f t="shared" si="2"/>
        <v>25179.22</v>
      </c>
      <c r="J40" s="22">
        <f t="shared" si="3"/>
        <v>0.42475791169856303</v>
      </c>
      <c r="K40" s="18">
        <v>11747.44</v>
      </c>
      <c r="L40" s="3" t="s">
        <v>106</v>
      </c>
      <c r="M40" s="13" t="s">
        <v>167</v>
      </c>
      <c r="N40" s="13" t="s">
        <v>168</v>
      </c>
    </row>
    <row r="41" spans="1:14" x14ac:dyDescent="0.2">
      <c r="A41" s="21">
        <v>154226</v>
      </c>
      <c r="B41" s="1" t="s">
        <v>169</v>
      </c>
      <c r="C41" s="1" t="s">
        <v>247</v>
      </c>
      <c r="D41" s="27" t="s">
        <v>170</v>
      </c>
      <c r="E41" s="31">
        <v>334861.96999999997</v>
      </c>
      <c r="F41" s="35">
        <v>323597.65000000002</v>
      </c>
      <c r="G41" s="36"/>
      <c r="H41" s="24">
        <f t="shared" si="1"/>
        <v>11264.319999999949</v>
      </c>
      <c r="I41" s="15">
        <f t="shared" si="2"/>
        <v>11264.319999999949</v>
      </c>
      <c r="J41" s="22">
        <f t="shared" si="3"/>
        <v>3.3638695967774274E-2</v>
      </c>
      <c r="K41" s="18">
        <v>65807.600000000006</v>
      </c>
      <c r="L41" s="3" t="s">
        <v>106</v>
      </c>
      <c r="M41" s="13" t="s">
        <v>171</v>
      </c>
      <c r="N41" s="13" t="s">
        <v>172</v>
      </c>
    </row>
    <row r="42" spans="1:14" x14ac:dyDescent="0.2">
      <c r="A42" s="21">
        <v>154227</v>
      </c>
      <c r="B42" s="1" t="s">
        <v>173</v>
      </c>
      <c r="C42" s="1" t="s">
        <v>247</v>
      </c>
      <c r="D42" s="27" t="s">
        <v>174</v>
      </c>
      <c r="E42" s="29">
        <v>355673.94</v>
      </c>
      <c r="F42" s="35">
        <v>282015.92</v>
      </c>
      <c r="G42" s="36">
        <v>61523.99</v>
      </c>
      <c r="H42" s="24">
        <f t="shared" si="1"/>
        <v>12134.030000000021</v>
      </c>
      <c r="I42" s="15">
        <f t="shared" si="2"/>
        <v>73658.020000000019</v>
      </c>
      <c r="J42" s="22">
        <f t="shared" si="3"/>
        <v>0.20709422793247101</v>
      </c>
      <c r="K42" s="18">
        <v>69897.600000000006</v>
      </c>
      <c r="L42" s="3" t="s">
        <v>106</v>
      </c>
      <c r="M42" s="13" t="s">
        <v>175</v>
      </c>
      <c r="N42" s="13" t="s">
        <v>176</v>
      </c>
    </row>
    <row r="43" spans="1:14" x14ac:dyDescent="0.2">
      <c r="A43" s="21">
        <v>154228</v>
      </c>
      <c r="B43" s="1" t="s">
        <v>177</v>
      </c>
      <c r="C43" s="1" t="s">
        <v>246</v>
      </c>
      <c r="D43" s="27" t="s">
        <v>178</v>
      </c>
      <c r="E43" s="29">
        <v>637008</v>
      </c>
      <c r="F43" s="35">
        <v>299188.57</v>
      </c>
      <c r="G43" s="36">
        <v>307191.05</v>
      </c>
      <c r="H43" s="24">
        <f t="shared" si="1"/>
        <v>30628.380000000005</v>
      </c>
      <c r="I43" s="15">
        <f t="shared" si="2"/>
        <v>337819.43</v>
      </c>
      <c r="J43" s="22">
        <f t="shared" si="3"/>
        <v>0.53032211526385853</v>
      </c>
      <c r="K43" s="18">
        <v>172401.6</v>
      </c>
      <c r="L43" s="3" t="s">
        <v>106</v>
      </c>
      <c r="M43" s="13" t="s">
        <v>179</v>
      </c>
      <c r="N43" s="13" t="s">
        <v>180</v>
      </c>
    </row>
    <row r="44" spans="1:14" x14ac:dyDescent="0.2">
      <c r="A44" s="21">
        <v>154230</v>
      </c>
      <c r="B44" s="1" t="s">
        <v>181</v>
      </c>
      <c r="C44" s="1" t="s">
        <v>246</v>
      </c>
      <c r="D44" s="27" t="s">
        <v>182</v>
      </c>
      <c r="E44" s="29">
        <v>848349.02</v>
      </c>
      <c r="F44" s="35">
        <v>411494.82</v>
      </c>
      <c r="G44" s="36">
        <v>192975.14</v>
      </c>
      <c r="H44" s="24">
        <f t="shared" si="1"/>
        <v>243879.06</v>
      </c>
      <c r="I44" s="15">
        <f t="shared" si="2"/>
        <v>436854.2</v>
      </c>
      <c r="J44" s="22">
        <f t="shared" si="3"/>
        <v>0.51494631301631022</v>
      </c>
      <c r="K44" s="18">
        <v>262602.59999999998</v>
      </c>
      <c r="L44" s="3" t="s">
        <v>106</v>
      </c>
      <c r="M44" s="13" t="s">
        <v>183</v>
      </c>
      <c r="N44" s="13" t="s">
        <v>184</v>
      </c>
    </row>
    <row r="45" spans="1:14" x14ac:dyDescent="0.2">
      <c r="A45" s="21">
        <v>154251</v>
      </c>
      <c r="B45" s="1" t="s">
        <v>185</v>
      </c>
      <c r="C45" s="1" t="s">
        <v>246</v>
      </c>
      <c r="D45" s="27" t="s">
        <v>186</v>
      </c>
      <c r="E45" s="29">
        <v>1131034.44</v>
      </c>
      <c r="F45" s="35">
        <v>642667.05000000005</v>
      </c>
      <c r="G45" s="36">
        <v>451788.41</v>
      </c>
      <c r="H45" s="24">
        <f t="shared" si="1"/>
        <v>36578.979999999923</v>
      </c>
      <c r="I45" s="15">
        <f t="shared" si="2"/>
        <v>488367.3899999999</v>
      </c>
      <c r="J45" s="22">
        <f t="shared" si="3"/>
        <v>0.43178825748223892</v>
      </c>
      <c r="K45" s="18">
        <v>205642.6</v>
      </c>
      <c r="L45" s="3" t="s">
        <v>106</v>
      </c>
      <c r="M45" s="13" t="s">
        <v>187</v>
      </c>
      <c r="N45" s="13" t="s">
        <v>188</v>
      </c>
    </row>
    <row r="46" spans="1:14" x14ac:dyDescent="0.2">
      <c r="A46" s="21">
        <v>154256</v>
      </c>
      <c r="B46" s="1" t="s">
        <v>189</v>
      </c>
      <c r="C46" s="1" t="s">
        <v>246</v>
      </c>
      <c r="D46" s="27" t="s">
        <v>190</v>
      </c>
      <c r="E46" s="29">
        <v>970285.11</v>
      </c>
      <c r="F46" s="35">
        <v>699872.54</v>
      </c>
      <c r="G46" s="36">
        <v>142318</v>
      </c>
      <c r="H46" s="24">
        <f t="shared" si="1"/>
        <v>128094.56999999995</v>
      </c>
      <c r="I46" s="15">
        <f t="shared" si="2"/>
        <v>270412.56999999995</v>
      </c>
      <c r="J46" s="22">
        <f t="shared" si="3"/>
        <v>0.27869392945749727</v>
      </c>
      <c r="K46" s="18">
        <v>194057</v>
      </c>
      <c r="L46" s="3" t="s">
        <v>191</v>
      </c>
      <c r="M46" s="3" t="s">
        <v>192</v>
      </c>
      <c r="N46" s="3" t="s">
        <v>193</v>
      </c>
    </row>
    <row r="47" spans="1:14" x14ac:dyDescent="0.2">
      <c r="A47" s="21">
        <v>154263</v>
      </c>
      <c r="B47" s="1" t="s">
        <v>194</v>
      </c>
      <c r="C47" s="1" t="s">
        <v>246</v>
      </c>
      <c r="D47" s="27" t="s">
        <v>195</v>
      </c>
      <c r="E47" s="29">
        <v>739304.54</v>
      </c>
      <c r="F47" s="35">
        <v>387257.54</v>
      </c>
      <c r="G47" s="36">
        <v>232288.47</v>
      </c>
      <c r="H47" s="24">
        <f t="shared" si="1"/>
        <v>119758.53000000006</v>
      </c>
      <c r="I47" s="15">
        <f t="shared" si="2"/>
        <v>352047.00000000006</v>
      </c>
      <c r="J47" s="22">
        <f t="shared" si="3"/>
        <v>0.47618671461154566</v>
      </c>
      <c r="K47" s="18">
        <v>155743.79999999999</v>
      </c>
      <c r="L47" s="3" t="s">
        <v>191</v>
      </c>
      <c r="M47" s="3" t="s">
        <v>196</v>
      </c>
      <c r="N47" s="3" t="s">
        <v>197</v>
      </c>
    </row>
    <row r="48" spans="1:14" x14ac:dyDescent="0.2">
      <c r="A48" s="21">
        <v>154264</v>
      </c>
      <c r="B48" s="1" t="s">
        <v>198</v>
      </c>
      <c r="C48" s="1" t="s">
        <v>246</v>
      </c>
      <c r="D48" s="27" t="s">
        <v>199</v>
      </c>
      <c r="E48" s="29">
        <v>467064.95</v>
      </c>
      <c r="F48" s="35">
        <v>360902.2</v>
      </c>
      <c r="G48" s="36">
        <v>30000</v>
      </c>
      <c r="H48" s="24">
        <f t="shared" si="1"/>
        <v>76162.75</v>
      </c>
      <c r="I48" s="15">
        <f t="shared" si="2"/>
        <v>106162.75</v>
      </c>
      <c r="J48" s="22">
        <f t="shared" si="3"/>
        <v>0.22729761674473753</v>
      </c>
      <c r="K48" s="18">
        <v>93413</v>
      </c>
      <c r="L48" s="3" t="s">
        <v>191</v>
      </c>
      <c r="M48" s="3" t="s">
        <v>200</v>
      </c>
      <c r="N48" s="3" t="s">
        <v>201</v>
      </c>
    </row>
    <row r="49" spans="1:14" x14ac:dyDescent="0.2">
      <c r="A49" s="21">
        <v>154269</v>
      </c>
      <c r="B49" s="1" t="s">
        <v>202</v>
      </c>
      <c r="C49" s="1" t="s">
        <v>247</v>
      </c>
      <c r="D49" s="27" t="s">
        <v>203</v>
      </c>
      <c r="E49" s="29">
        <v>201548.36</v>
      </c>
      <c r="F49" s="35">
        <v>186192.46</v>
      </c>
      <c r="G49" s="36"/>
      <c r="H49" s="24">
        <f t="shared" si="1"/>
        <v>15355.899999999994</v>
      </c>
      <c r="I49" s="15">
        <f t="shared" si="2"/>
        <v>15355.899999999994</v>
      </c>
      <c r="J49" s="22">
        <f t="shared" si="3"/>
        <v>7.6189654929467027E-2</v>
      </c>
      <c r="K49" s="18">
        <v>39608.6</v>
      </c>
      <c r="L49" s="3" t="s">
        <v>191</v>
      </c>
      <c r="M49" s="3" t="s">
        <v>204</v>
      </c>
      <c r="N49" s="3" t="s">
        <v>205</v>
      </c>
    </row>
    <row r="50" spans="1:14" x14ac:dyDescent="0.2">
      <c r="A50" s="21">
        <v>154278</v>
      </c>
      <c r="B50" s="1" t="s">
        <v>206</v>
      </c>
      <c r="C50" s="1" t="s">
        <v>246</v>
      </c>
      <c r="D50" s="27" t="s">
        <v>207</v>
      </c>
      <c r="E50" s="29">
        <v>508171.54</v>
      </c>
      <c r="F50" s="35">
        <v>257212.48</v>
      </c>
      <c r="G50" s="36">
        <v>205003.22</v>
      </c>
      <c r="H50" s="24">
        <f t="shared" si="1"/>
        <v>45955.839999999967</v>
      </c>
      <c r="I50" s="15">
        <f t="shared" si="2"/>
        <v>250959.05999999997</v>
      </c>
      <c r="J50" s="22">
        <f t="shared" si="3"/>
        <v>0.49384713673654368</v>
      </c>
      <c r="K50" s="18">
        <v>101634.4</v>
      </c>
      <c r="L50" s="3" t="s">
        <v>191</v>
      </c>
      <c r="M50" s="2" t="s">
        <v>208</v>
      </c>
      <c r="N50" s="3" t="s">
        <v>209</v>
      </c>
    </row>
    <row r="51" spans="1:14" x14ac:dyDescent="0.2">
      <c r="A51" s="21">
        <v>154283</v>
      </c>
      <c r="B51" s="1" t="s">
        <v>210</v>
      </c>
      <c r="C51" s="1" t="s">
        <v>246</v>
      </c>
      <c r="D51" s="27" t="s">
        <v>211</v>
      </c>
      <c r="E51" s="29">
        <v>684919.51</v>
      </c>
      <c r="F51" s="35">
        <v>497222.45</v>
      </c>
      <c r="G51" s="36">
        <v>60807</v>
      </c>
      <c r="H51" s="24">
        <f t="shared" si="1"/>
        <v>126890.06</v>
      </c>
      <c r="I51" s="15">
        <f t="shared" si="2"/>
        <v>187697.06</v>
      </c>
      <c r="J51" s="22">
        <f t="shared" si="3"/>
        <v>0.27404250756413701</v>
      </c>
      <c r="K51" s="18">
        <v>136984</v>
      </c>
      <c r="L51" s="3" t="s">
        <v>191</v>
      </c>
      <c r="M51" s="3" t="s">
        <v>212</v>
      </c>
      <c r="N51" s="3" t="s">
        <v>213</v>
      </c>
    </row>
    <row r="52" spans="1:14" x14ac:dyDescent="0.2">
      <c r="A52" s="21">
        <v>154297</v>
      </c>
      <c r="B52" s="1" t="s">
        <v>214</v>
      </c>
      <c r="C52" s="1" t="s">
        <v>247</v>
      </c>
      <c r="D52" s="27" t="s">
        <v>215</v>
      </c>
      <c r="E52" s="29">
        <v>82990.38</v>
      </c>
      <c r="F52" s="35">
        <v>43200.87</v>
      </c>
      <c r="G52" s="36">
        <v>31533.96</v>
      </c>
      <c r="H52" s="24">
        <f t="shared" si="1"/>
        <v>8255.5500000000029</v>
      </c>
      <c r="I52" s="15">
        <f t="shared" si="2"/>
        <v>39789.51</v>
      </c>
      <c r="J52" s="22">
        <f t="shared" si="3"/>
        <v>0.47944725641694858</v>
      </c>
      <c r="K52" s="18">
        <v>36309.4</v>
      </c>
      <c r="L52" s="3" t="s">
        <v>191</v>
      </c>
      <c r="M52" s="3">
        <v>1583</v>
      </c>
      <c r="N52" s="3">
        <v>1584</v>
      </c>
    </row>
    <row r="53" spans="1:14" x14ac:dyDescent="0.2">
      <c r="A53" s="21">
        <v>154299</v>
      </c>
      <c r="B53" s="1" t="s">
        <v>216</v>
      </c>
      <c r="C53" s="1" t="s">
        <v>246</v>
      </c>
      <c r="D53" s="27" t="s">
        <v>217</v>
      </c>
      <c r="E53" s="29">
        <v>1224980.8999999999</v>
      </c>
      <c r="F53" s="35">
        <v>960275.99</v>
      </c>
      <c r="G53" s="36">
        <v>160540</v>
      </c>
      <c r="H53" s="24">
        <f t="shared" si="1"/>
        <v>104164.90999999992</v>
      </c>
      <c r="I53" s="15">
        <f t="shared" si="2"/>
        <v>264704.90999999992</v>
      </c>
      <c r="J53" s="22">
        <f t="shared" si="3"/>
        <v>0.21608901004089121</v>
      </c>
      <c r="K53" s="18">
        <v>222723.8</v>
      </c>
      <c r="L53" s="3" t="s">
        <v>191</v>
      </c>
      <c r="M53" s="3">
        <v>1585</v>
      </c>
      <c r="N53" s="3">
        <v>1586</v>
      </c>
    </row>
    <row r="54" spans="1:14" x14ac:dyDescent="0.2">
      <c r="A54" s="21">
        <v>154304</v>
      </c>
      <c r="B54" s="1" t="s">
        <v>218</v>
      </c>
      <c r="C54" s="1" t="s">
        <v>247</v>
      </c>
      <c r="D54" s="27" t="s">
        <v>219</v>
      </c>
      <c r="E54" s="29">
        <v>15249.22</v>
      </c>
      <c r="F54" s="35">
        <v>13799.7</v>
      </c>
      <c r="G54" s="36"/>
      <c r="H54" s="24">
        <f t="shared" si="1"/>
        <v>1449.5199999999986</v>
      </c>
      <c r="I54" s="15">
        <f t="shared" si="2"/>
        <v>1449.5199999999986</v>
      </c>
      <c r="J54" s="22">
        <f t="shared" si="3"/>
        <v>9.5055353650875168E-2</v>
      </c>
      <c r="K54" s="18">
        <v>2996.8</v>
      </c>
      <c r="L54" s="3" t="s">
        <v>191</v>
      </c>
      <c r="M54" s="3">
        <v>1587</v>
      </c>
      <c r="N54" s="3">
        <v>1588</v>
      </c>
    </row>
    <row r="55" spans="1:14" x14ac:dyDescent="0.2">
      <c r="A55" s="21">
        <v>154329</v>
      </c>
      <c r="B55" s="1" t="s">
        <v>220</v>
      </c>
      <c r="C55" s="1" t="s">
        <v>246</v>
      </c>
      <c r="D55" s="27" t="s">
        <v>221</v>
      </c>
      <c r="E55" s="29">
        <v>735989.94</v>
      </c>
      <c r="F55" s="35">
        <v>638806.54</v>
      </c>
      <c r="G55" s="36">
        <v>55972.67</v>
      </c>
      <c r="H55" s="24">
        <f t="shared" si="1"/>
        <v>41210.729999999909</v>
      </c>
      <c r="I55" s="15">
        <f t="shared" si="2"/>
        <v>97183.399999999907</v>
      </c>
      <c r="J55" s="22">
        <f t="shared" si="3"/>
        <v>0.13204446789041696</v>
      </c>
      <c r="K55" s="18">
        <v>147198</v>
      </c>
      <c r="L55" s="3" t="s">
        <v>191</v>
      </c>
      <c r="M55" s="3">
        <v>1589</v>
      </c>
      <c r="N55" s="3">
        <v>1590</v>
      </c>
    </row>
    <row r="56" spans="1:14" x14ac:dyDescent="0.2">
      <c r="A56" s="21">
        <v>154329</v>
      </c>
      <c r="B56" s="1" t="s">
        <v>220</v>
      </c>
      <c r="C56" s="1" t="s">
        <v>247</v>
      </c>
      <c r="D56" s="27" t="s">
        <v>222</v>
      </c>
      <c r="E56" s="29">
        <v>137625.60999999999</v>
      </c>
      <c r="F56" s="35">
        <v>133568.65</v>
      </c>
      <c r="G56" s="36"/>
      <c r="H56" s="24">
        <f t="shared" si="1"/>
        <v>4056.9599999999919</v>
      </c>
      <c r="I56" s="15">
        <f t="shared" si="2"/>
        <v>4056.9599999999919</v>
      </c>
      <c r="J56" s="22">
        <f t="shared" si="3"/>
        <v>2.9478234465227744E-2</v>
      </c>
      <c r="K56" s="18">
        <v>27046.400000000001</v>
      </c>
      <c r="L56" s="3" t="s">
        <v>191</v>
      </c>
      <c r="M56" s="3">
        <v>1591</v>
      </c>
      <c r="N56" s="3">
        <v>1592</v>
      </c>
    </row>
    <row r="57" spans="1:14" x14ac:dyDescent="0.2">
      <c r="A57" s="21">
        <v>154368</v>
      </c>
      <c r="B57" s="1" t="s">
        <v>223</v>
      </c>
      <c r="C57" s="1" t="s">
        <v>247</v>
      </c>
      <c r="D57" s="27" t="s">
        <v>224</v>
      </c>
      <c r="E57" s="29">
        <v>94846.59</v>
      </c>
      <c r="F57" s="35">
        <v>74760.87</v>
      </c>
      <c r="G57" s="36"/>
      <c r="H57" s="24">
        <f t="shared" si="1"/>
        <v>20085.72</v>
      </c>
      <c r="I57" s="15">
        <f t="shared" si="2"/>
        <v>20085.72</v>
      </c>
      <c r="J57" s="22">
        <f t="shared" si="3"/>
        <v>0.2117706076728747</v>
      </c>
      <c r="K57" s="18">
        <v>19139.400000000001</v>
      </c>
      <c r="L57" s="3" t="s">
        <v>191</v>
      </c>
      <c r="M57" s="3">
        <v>1593</v>
      </c>
      <c r="N57" s="3">
        <v>1594</v>
      </c>
    </row>
    <row r="58" spans="1:14" x14ac:dyDescent="0.2">
      <c r="A58" s="21">
        <v>154371</v>
      </c>
      <c r="B58" s="1" t="s">
        <v>225</v>
      </c>
      <c r="C58" s="1" t="s">
        <v>247</v>
      </c>
      <c r="D58" s="27" t="s">
        <v>226</v>
      </c>
      <c r="E58" s="29">
        <v>94846.59</v>
      </c>
      <c r="F58" s="35">
        <v>78742.87</v>
      </c>
      <c r="G58" s="36">
        <v>10567</v>
      </c>
      <c r="H58" s="24">
        <f t="shared" si="1"/>
        <v>5536.7200000000012</v>
      </c>
      <c r="I58" s="15">
        <f t="shared" si="2"/>
        <v>16103.720000000001</v>
      </c>
      <c r="J58" s="22">
        <f t="shared" si="3"/>
        <v>0.16978702133624415</v>
      </c>
      <c r="K58" s="18">
        <v>18639.400000000001</v>
      </c>
      <c r="L58" s="3" t="s">
        <v>191</v>
      </c>
      <c r="M58" s="3">
        <v>1595</v>
      </c>
      <c r="N58" s="3">
        <v>1596</v>
      </c>
    </row>
    <row r="59" spans="1:14" x14ac:dyDescent="0.2">
      <c r="A59" s="21">
        <v>154920</v>
      </c>
      <c r="B59" s="1" t="s">
        <v>227</v>
      </c>
      <c r="C59" s="1" t="s">
        <v>247</v>
      </c>
      <c r="D59" s="27" t="s">
        <v>228</v>
      </c>
      <c r="E59" s="29">
        <v>201548.36</v>
      </c>
      <c r="F59" s="35">
        <v>144174.44</v>
      </c>
      <c r="G59" s="36">
        <v>40878.32</v>
      </c>
      <c r="H59" s="24">
        <f t="shared" si="1"/>
        <v>16495.599999999984</v>
      </c>
      <c r="I59" s="15">
        <f t="shared" si="2"/>
        <v>57373.919999999984</v>
      </c>
      <c r="J59" s="22">
        <f t="shared" si="3"/>
        <v>0.28466577450692226</v>
      </c>
      <c r="K59" s="18">
        <v>39608.6</v>
      </c>
      <c r="L59" s="3" t="s">
        <v>191</v>
      </c>
      <c r="M59" s="3">
        <v>1597</v>
      </c>
      <c r="N59" s="3">
        <v>1598</v>
      </c>
    </row>
    <row r="60" spans="1:14" x14ac:dyDescent="0.2">
      <c r="A60" s="21">
        <v>155027</v>
      </c>
      <c r="B60" s="1" t="s">
        <v>229</v>
      </c>
      <c r="C60" s="1" t="s">
        <v>247</v>
      </c>
      <c r="D60" s="27" t="s">
        <v>230</v>
      </c>
      <c r="E60" s="29">
        <v>142269.37</v>
      </c>
      <c r="F60" s="35">
        <v>117528.76</v>
      </c>
      <c r="G60" s="36">
        <v>165.96</v>
      </c>
      <c r="H60" s="24">
        <f t="shared" si="1"/>
        <v>24574.65</v>
      </c>
      <c r="I60" s="15">
        <f t="shared" si="2"/>
        <v>24740.61</v>
      </c>
      <c r="J60" s="22">
        <f t="shared" si="3"/>
        <v>0.17389976493183321</v>
      </c>
      <c r="K60" s="18">
        <v>27959</v>
      </c>
      <c r="L60" s="3" t="s">
        <v>191</v>
      </c>
      <c r="M60" s="3">
        <v>1599</v>
      </c>
      <c r="N60" s="3">
        <v>1600</v>
      </c>
    </row>
    <row r="61" spans="1:14" x14ac:dyDescent="0.2">
      <c r="A61" s="21">
        <v>155099</v>
      </c>
      <c r="B61" s="1" t="s">
        <v>231</v>
      </c>
      <c r="C61" s="1" t="s">
        <v>247</v>
      </c>
      <c r="D61" s="27" t="s">
        <v>232</v>
      </c>
      <c r="E61" s="29">
        <v>82990.38</v>
      </c>
      <c r="F61" s="35">
        <v>65356.89</v>
      </c>
      <c r="G61" s="36">
        <v>10098.049999999999</v>
      </c>
      <c r="H61" s="24">
        <f t="shared" si="1"/>
        <v>7535.440000000006</v>
      </c>
      <c r="I61" s="15">
        <f t="shared" si="2"/>
        <v>17633.490000000005</v>
      </c>
      <c r="J61" s="22">
        <f t="shared" si="3"/>
        <v>0.21247631351971161</v>
      </c>
      <c r="K61" s="18">
        <v>16309.4</v>
      </c>
      <c r="L61" s="3" t="s">
        <v>191</v>
      </c>
      <c r="M61" s="3">
        <v>1601</v>
      </c>
      <c r="N61" s="3">
        <v>1602</v>
      </c>
    </row>
    <row r="62" spans="1:14" x14ac:dyDescent="0.2">
      <c r="A62" s="21">
        <v>156047</v>
      </c>
      <c r="B62" s="1" t="s">
        <v>233</v>
      </c>
      <c r="C62" s="1" t="s">
        <v>247</v>
      </c>
      <c r="D62" s="27" t="s">
        <v>234</v>
      </c>
      <c r="E62" s="29">
        <v>296394.95</v>
      </c>
      <c r="F62" s="35">
        <v>112767.53</v>
      </c>
      <c r="G62" s="36">
        <v>147064.65</v>
      </c>
      <c r="H62" s="24">
        <f t="shared" si="1"/>
        <v>36562.770000000019</v>
      </c>
      <c r="I62" s="15">
        <f t="shared" si="2"/>
        <v>183627.42</v>
      </c>
      <c r="J62" s="22">
        <f t="shared" si="3"/>
        <v>0.61953626402879003</v>
      </c>
      <c r="K62" s="19">
        <v>145620</v>
      </c>
      <c r="L62" s="8" t="s">
        <v>191</v>
      </c>
      <c r="M62" s="8">
        <v>1603</v>
      </c>
      <c r="N62" s="8">
        <v>1604</v>
      </c>
    </row>
    <row r="63" spans="1:14" x14ac:dyDescent="0.2">
      <c r="A63" s="21">
        <v>156247</v>
      </c>
      <c r="B63" s="1" t="s">
        <v>235</v>
      </c>
      <c r="C63" s="1" t="s">
        <v>247</v>
      </c>
      <c r="D63" s="27" t="s">
        <v>236</v>
      </c>
      <c r="E63" s="29">
        <v>82990.38</v>
      </c>
      <c r="F63" s="35">
        <v>58433.599999999999</v>
      </c>
      <c r="G63" s="36">
        <v>15100</v>
      </c>
      <c r="H63" s="24">
        <f t="shared" si="1"/>
        <v>9456.7800000000061</v>
      </c>
      <c r="I63" s="15">
        <f t="shared" si="2"/>
        <v>24556.780000000006</v>
      </c>
      <c r="J63" s="22">
        <f t="shared" si="3"/>
        <v>0.29589911505405814</v>
      </c>
      <c r="K63" s="18">
        <v>16309.4</v>
      </c>
      <c r="L63" s="3" t="s">
        <v>191</v>
      </c>
      <c r="M63" s="3">
        <v>1605</v>
      </c>
      <c r="N63" s="3">
        <v>1606</v>
      </c>
    </row>
    <row r="64" spans="1:14" x14ac:dyDescent="0.2">
      <c r="A64" s="21">
        <v>156478</v>
      </c>
      <c r="B64" s="1" t="s">
        <v>237</v>
      </c>
      <c r="C64" s="1" t="s">
        <v>247</v>
      </c>
      <c r="D64" s="27" t="s">
        <v>238</v>
      </c>
      <c r="E64" s="29">
        <v>142269.37</v>
      </c>
      <c r="F64" s="35">
        <v>122105.02</v>
      </c>
      <c r="G64" s="36">
        <v>15108.39</v>
      </c>
      <c r="H64" s="24">
        <f t="shared" si="1"/>
        <v>5055.9599999999919</v>
      </c>
      <c r="I64" s="15">
        <f t="shared" si="2"/>
        <v>20164.349999999991</v>
      </c>
      <c r="J64" s="22">
        <f t="shared" si="3"/>
        <v>0.1417336001417592</v>
      </c>
      <c r="K64" s="18">
        <v>27959</v>
      </c>
      <c r="L64" s="3" t="s">
        <v>191</v>
      </c>
      <c r="M64" s="3">
        <v>1607</v>
      </c>
      <c r="N64" s="3">
        <v>1608</v>
      </c>
    </row>
    <row r="65" spans="1:14" x14ac:dyDescent="0.2">
      <c r="A65" s="21">
        <v>156850</v>
      </c>
      <c r="B65" s="1" t="s">
        <v>239</v>
      </c>
      <c r="C65" s="1" t="s">
        <v>247</v>
      </c>
      <c r="D65" s="27" t="s">
        <v>240</v>
      </c>
      <c r="E65" s="29">
        <v>15249.22</v>
      </c>
      <c r="F65" s="35">
        <v>14799.7</v>
      </c>
      <c r="G65" s="36"/>
      <c r="H65" s="24">
        <f t="shared" si="1"/>
        <v>449.51999999999862</v>
      </c>
      <c r="I65" s="15">
        <f t="shared" si="2"/>
        <v>449.51999999999862</v>
      </c>
      <c r="J65" s="22">
        <f t="shared" si="3"/>
        <v>2.9478229050403801E-2</v>
      </c>
      <c r="K65" s="18">
        <v>2996.8</v>
      </c>
      <c r="L65" s="3" t="s">
        <v>191</v>
      </c>
      <c r="M65" s="3">
        <v>1609</v>
      </c>
      <c r="N65" s="3">
        <v>1610</v>
      </c>
    </row>
    <row r="66" spans="1:14" x14ac:dyDescent="0.2">
      <c r="A66" s="21">
        <v>157250</v>
      </c>
      <c r="B66" s="1" t="s">
        <v>241</v>
      </c>
      <c r="C66" s="1" t="s">
        <v>247</v>
      </c>
      <c r="D66" s="27" t="s">
        <v>242</v>
      </c>
      <c r="E66" s="29">
        <v>59278.99</v>
      </c>
      <c r="F66" s="35">
        <v>57531.55</v>
      </c>
      <c r="G66" s="36"/>
      <c r="H66" s="24">
        <f t="shared" si="1"/>
        <v>1747.4399999999951</v>
      </c>
      <c r="I66" s="15">
        <f t="shared" si="2"/>
        <v>1747.4399999999951</v>
      </c>
      <c r="J66" s="22">
        <f t="shared" si="3"/>
        <v>2.9478235037405244E-2</v>
      </c>
      <c r="K66" s="18">
        <v>11649.6</v>
      </c>
      <c r="L66" s="3" t="s">
        <v>191</v>
      </c>
      <c r="M66" s="3">
        <v>1611</v>
      </c>
      <c r="N66" s="3">
        <v>1612</v>
      </c>
    </row>
    <row r="67" spans="1:14" x14ac:dyDescent="0.2">
      <c r="A67" s="11" t="s">
        <v>243</v>
      </c>
      <c r="B67" s="4"/>
      <c r="C67" s="4"/>
      <c r="D67" s="4"/>
      <c r="E67" s="32">
        <f>SUM(E2:E66)</f>
        <v>32047639.309999991</v>
      </c>
      <c r="F67" s="37">
        <f>SUM(F2:F66)</f>
        <v>20745036.870000005</v>
      </c>
      <c r="G67" s="37">
        <f>SUM(G2:G66)</f>
        <v>6613296.459999999</v>
      </c>
      <c r="H67" s="25">
        <f>SUM(H2:H66)</f>
        <v>4689305.9799999995</v>
      </c>
      <c r="I67" s="5">
        <f>SUM(I2:I66)</f>
        <v>11302602.440000001</v>
      </c>
      <c r="J67" s="23">
        <f t="shared" si="3"/>
        <v>0.35268127959968609</v>
      </c>
      <c r="K67" s="5">
        <f>SUM(K2:K66)</f>
        <v>7547742.3499999987</v>
      </c>
      <c r="L67" s="4"/>
      <c r="M67" s="4"/>
      <c r="N67" s="4"/>
    </row>
    <row r="68" spans="1:14" x14ac:dyDescent="0.2">
      <c r="A68" s="17" t="s">
        <v>244</v>
      </c>
      <c r="D68" s="17"/>
    </row>
    <row r="69" spans="1:14" x14ac:dyDescent="0.2">
      <c r="A69" s="17" t="s">
        <v>245</v>
      </c>
      <c r="E69" s="9"/>
    </row>
    <row r="70" spans="1:14" x14ac:dyDescent="0.2">
      <c r="F70" s="9"/>
      <c r="G70" s="9"/>
      <c r="H70" s="9"/>
      <c r="I70" s="9"/>
      <c r="J70" s="9"/>
    </row>
    <row r="73" spans="1:14" x14ac:dyDescent="0.2">
      <c r="E73" s="26"/>
      <c r="F73" s="10"/>
      <c r="G73" s="10"/>
      <c r="H73" s="10"/>
      <c r="I73" s="10"/>
      <c r="J73" s="10"/>
    </row>
    <row r="74" spans="1:14" x14ac:dyDescent="0.2">
      <c r="E74" s="26"/>
      <c r="F74" s="10"/>
      <c r="G74" s="10"/>
      <c r="H74" s="10"/>
      <c r="I74" s="10"/>
      <c r="J74" s="10"/>
    </row>
    <row r="75" spans="1:14" x14ac:dyDescent="0.2">
      <c r="E75" s="26"/>
      <c r="F75" s="10"/>
      <c r="G75" s="10"/>
      <c r="H75" s="10"/>
      <c r="I75" s="10"/>
      <c r="J75" s="10"/>
    </row>
  </sheetData>
  <autoFilter ref="A1:L69" xr:uid="{00000000-0001-0000-0000-000000000000}"/>
  <conditionalFormatting sqref="J2:J66">
    <cfRule type="cellIs" dxfId="0" priority="3" operator="greaterThan">
      <formula>0.5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93A33616FEC924E86F70C8A6CA6B30F" ma:contentTypeVersion="6" ma:contentTypeDescription="Crie um novo documento." ma:contentTypeScope="" ma:versionID="ae54403e740c7660f9b2df6ac5051198">
  <xsd:schema xmlns:xsd="http://www.w3.org/2001/XMLSchema" xmlns:xs="http://www.w3.org/2001/XMLSchema" xmlns:p="http://schemas.microsoft.com/office/2006/metadata/properties" xmlns:ns2="17aef92f-c96a-4253-bdda-c019e470c217" xmlns:ns3="bd691efb-f8b5-4abb-8cf0-f0d9883a0ccf" targetNamespace="http://schemas.microsoft.com/office/2006/metadata/properties" ma:root="true" ma:fieldsID="8a6828dd4d4fbcc689ea326199803bf4" ns2:_="" ns3:_="">
    <xsd:import namespace="17aef92f-c96a-4253-bdda-c019e470c217"/>
    <xsd:import namespace="bd691efb-f8b5-4abb-8cf0-f0d9883a0c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aef92f-c96a-4253-bdda-c019e470c2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91efb-f8b5-4abb-8cf0-f0d9883a0cc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A20AD6-37B2-441C-B809-328309D48F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aef92f-c96a-4253-bdda-c019e470c217"/>
    <ds:schemaRef ds:uri="bd691efb-f8b5-4abb-8cf0-f0d9883a0c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BD5B276-BA2C-4E3D-99F1-A854601E20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9BDADC-EE6C-4AD7-B7AB-0FC363CC701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Execução Matriz 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Douglas Alves de Souza</dc:creator>
  <cp:keywords/>
  <dc:description/>
  <cp:lastModifiedBy>Microsoft Office User</cp:lastModifiedBy>
  <cp:revision/>
  <dcterms:created xsi:type="dcterms:W3CDTF">2026-04-08T20:28:00Z</dcterms:created>
  <dcterms:modified xsi:type="dcterms:W3CDTF">2026-06-24T22:13:22Z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0x010100293A33616FEC924E86F70C8A6CA6B30F</vt:lpwstr>
  </property>
</Properties>
</file>